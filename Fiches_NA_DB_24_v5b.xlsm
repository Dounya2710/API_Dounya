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_B4L2\0_Programs\NaturAfrica\Fiches\"/>
    </mc:Choice>
  </mc:AlternateContent>
  <xr:revisionPtr revIDLastSave="0" documentId="13_ncr:1_{E4D72927-EDCA-47E6-B6EE-1D856078CEF2}" xr6:coauthVersionLast="47" xr6:coauthVersionMax="47" xr10:uidLastSave="{00000000-0000-0000-0000-000000000000}"/>
  <bookViews>
    <workbookView xWindow="-110" yWindow="-110" windowWidth="25820" windowHeight="15500" xr2:uid="{214955AE-7403-4DD6-B8F0-358D394CD8CC}"/>
  </bookViews>
  <sheets>
    <sheet name="Sheet1" sheetId="1" r:id="rId1"/>
    <sheet name="Reference" sheetId="2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1" l="1"/>
  <c r="C29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</futureMetadata>
  <valueMetadata count="1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</valueMetadata>
</metadata>
</file>

<file path=xl/sharedStrings.xml><?xml version="1.0" encoding="utf-8"?>
<sst xmlns="http://schemas.openxmlformats.org/spreadsheetml/2006/main" count="370" uniqueCount="311">
  <si>
    <t>Conservation</t>
  </si>
  <si>
    <t>C1 - Anti-poaching</t>
  </si>
  <si>
    <t>C1 - Patrolling and surveillance</t>
  </si>
  <si>
    <t>1-Banc d'Arguin-Dakhla</t>
  </si>
  <si>
    <t>EU-INTPA</t>
  </si>
  <si>
    <t>Angola</t>
  </si>
  <si>
    <t>Grants /Direct management</t>
  </si>
  <si>
    <t>Continental</t>
  </si>
  <si>
    <t>Green Economy</t>
  </si>
  <si>
    <t>C2 - CPA management</t>
  </si>
  <si>
    <t>C2 - Community engagement and education</t>
  </si>
  <si>
    <t>2-Cabo Verde archipelago</t>
  </si>
  <si>
    <t>EU-EU Delegation</t>
  </si>
  <si>
    <t>Benin</t>
  </si>
  <si>
    <t>Indirect management (pillar assessed organisation)</t>
  </si>
  <si>
    <t>Regional</t>
  </si>
  <si>
    <t>Governance</t>
  </si>
  <si>
    <t>C3 - Monitoring</t>
  </si>
  <si>
    <t>C3 - Intelligence gathering</t>
  </si>
  <si>
    <t>3-Senegal River Delta</t>
  </si>
  <si>
    <t>DE-BMZ</t>
  </si>
  <si>
    <t>Botswana</t>
  </si>
  <si>
    <t>Indirect management (financial institution)</t>
  </si>
  <si>
    <t>National</t>
  </si>
  <si>
    <t>C4 - Research</t>
  </si>
  <si>
    <t>C4 - Law enforcement training</t>
  </si>
  <si>
    <t>4-Delta du Saloum-Niumi Tanbi</t>
  </si>
  <si>
    <t>DE - KfW</t>
  </si>
  <si>
    <t>Burkina Faso</t>
  </si>
  <si>
    <t>Provincial</t>
  </si>
  <si>
    <t>C5 - Capacity building</t>
  </si>
  <si>
    <t>C5 - Use of technology</t>
  </si>
  <si>
    <t>5-Rio Cacheu-Bijagos Archipelago-Basse-Casamance</t>
  </si>
  <si>
    <t>FR</t>
  </si>
  <si>
    <t>Burundi</t>
  </si>
  <si>
    <t>KLCD</t>
  </si>
  <si>
    <t>C6 - Infrastructures</t>
  </si>
  <si>
    <t>C6 - Legal and polycy advocacy</t>
  </si>
  <si>
    <t>6-Niokolo Koba-Badiar-Bafing-Boe</t>
  </si>
  <si>
    <t>BE</t>
  </si>
  <si>
    <t>Cabo Verde</t>
  </si>
  <si>
    <t>C7 - Restoration</t>
  </si>
  <si>
    <t>C7 - Wildlife rescue and rehabilitation</t>
  </si>
  <si>
    <t>7-Outamba-Kilimi-Kuru-Pinselli-Soyah-Kounounkan</t>
  </si>
  <si>
    <t>SE</t>
  </si>
  <si>
    <t>Cameroon</t>
  </si>
  <si>
    <t>E1 - Sustainable agriculture, pastoralism, forestry, fischeries</t>
  </si>
  <si>
    <t>C8 - Demand reduction campaigns</t>
  </si>
  <si>
    <t>8-Bay-Sherbro River Estuary</t>
  </si>
  <si>
    <t>NL</t>
  </si>
  <si>
    <t>Central African Republic</t>
  </si>
  <si>
    <t>E2 - Circular economy</t>
  </si>
  <si>
    <t>C9- Support for rangers</t>
  </si>
  <si>
    <t>9-Gola-Foya-Kpo Mountains</t>
  </si>
  <si>
    <t>ES</t>
  </si>
  <si>
    <t>Chad</t>
  </si>
  <si>
    <t>E3 - PES/NBS</t>
  </si>
  <si>
    <t>C10 - Habitat restoration</t>
  </si>
  <si>
    <t>10-Wologizi-Wonegizi-Ziama</t>
  </si>
  <si>
    <t>IT</t>
  </si>
  <si>
    <t>Comoros</t>
  </si>
  <si>
    <t>E4- Renewable energy</t>
  </si>
  <si>
    <t>C11 - Biodiversity monitoring</t>
  </si>
  <si>
    <t>11-Nimba-Diecke</t>
  </si>
  <si>
    <t>AT</t>
  </si>
  <si>
    <t>Congo, Democratic Republic of</t>
  </si>
  <si>
    <t>G1 - Land-use planing</t>
  </si>
  <si>
    <t>C12 - Ecological corridors</t>
  </si>
  <si>
    <t>12-Tai-Grebo-Krahn-Sapo-SW Liberia Forests</t>
  </si>
  <si>
    <t>HR</t>
  </si>
  <si>
    <t>Congo, Republic of</t>
  </si>
  <si>
    <t>G2 - Human rights</t>
  </si>
  <si>
    <t>C13 - Fire management</t>
  </si>
  <si>
    <t>13-Gourma Sahel Inner Niger Delta</t>
  </si>
  <si>
    <t>BG</t>
  </si>
  <si>
    <t>Cote d'Ivoire</t>
  </si>
  <si>
    <t>G3 - Sustainable financing, anti-corruption</t>
  </si>
  <si>
    <t>C14 - Water resource management</t>
  </si>
  <si>
    <t>14-PONASI-Comoe-Mole-Volta</t>
  </si>
  <si>
    <t>CY</t>
  </si>
  <si>
    <t>Equatorial Guinea</t>
  </si>
  <si>
    <t>G4 - (Cross-border) particpatory governance</t>
  </si>
  <si>
    <t>C15 - Community involvment</t>
  </si>
  <si>
    <t>15-Bia Ankasa-Nini-Suhien-Kwabre-Tanoe</t>
  </si>
  <si>
    <t>CZ</t>
  </si>
  <si>
    <t>Eritrea</t>
  </si>
  <si>
    <t>G5 - Institutional capacity building</t>
  </si>
  <si>
    <t>C16 - Invasive species control</t>
  </si>
  <si>
    <t>16-W-Arly-Pendjari-Oti-Keran</t>
  </si>
  <si>
    <t>DK</t>
  </si>
  <si>
    <t>Eswatini (Formerly Known as Swaziland)</t>
  </si>
  <si>
    <t>G6 - Peace &amp; Security</t>
  </si>
  <si>
    <t>C17 - Scientific research</t>
  </si>
  <si>
    <t>17-Fazao-Malfakassa-Kyabobo</t>
  </si>
  <si>
    <t>EE</t>
  </si>
  <si>
    <t>Ethiopia</t>
  </si>
  <si>
    <t>C18 - Infrastructure development</t>
  </si>
  <si>
    <t>18-Keta-Songor Lagoons</t>
  </si>
  <si>
    <t>FN</t>
  </si>
  <si>
    <t>Gabon</t>
  </si>
  <si>
    <t>C19 - Habitat protection</t>
  </si>
  <si>
    <t>19-Mono-Togodo</t>
  </si>
  <si>
    <t>GR</t>
  </si>
  <si>
    <t>Gambia, The</t>
  </si>
  <si>
    <t>C20 - Native species reintroduction</t>
  </si>
  <si>
    <t>20-Kainji Lake NP</t>
  </si>
  <si>
    <t>HU</t>
  </si>
  <si>
    <t>Ghana</t>
  </si>
  <si>
    <t>E1 - Agroforestry</t>
  </si>
  <si>
    <t>21-Gadabedji-Termit Tin Toumma-Kanem (GaTerKa)</t>
  </si>
  <si>
    <t>IR</t>
  </si>
  <si>
    <t>Guinea</t>
  </si>
  <si>
    <t>E2 - Sustainable agriculture</t>
  </si>
  <si>
    <t>22-Hadejia-Nguru</t>
  </si>
  <si>
    <t>LV</t>
  </si>
  <si>
    <t>Guinea-Bissau</t>
  </si>
  <si>
    <t>E3 - Eco-tourism</t>
  </si>
  <si>
    <t>23-Yankari Game Reserve</t>
  </si>
  <si>
    <t>LT</t>
  </si>
  <si>
    <t>Kenya</t>
  </si>
  <si>
    <t>E4 - Renewable Energy</t>
  </si>
  <si>
    <t>24-Cross River-Korup-Takamanda-Cameroon montane (CRIKOT)</t>
  </si>
  <si>
    <t>LU</t>
  </si>
  <si>
    <t>Lesotho</t>
  </si>
  <si>
    <t>E5 - Water management system</t>
  </si>
  <si>
    <t>25-Waza-Logone-Lake Chad</t>
  </si>
  <si>
    <t>MT</t>
  </si>
  <si>
    <t>Liberia</t>
  </si>
  <si>
    <t>E6 - Community-based natural resource management</t>
  </si>
  <si>
    <t>26-Gashaka-Faro-Bouba-Ndji-da-Binder</t>
  </si>
  <si>
    <t>PO</t>
  </si>
  <si>
    <t>Madagascar</t>
  </si>
  <si>
    <t>E7 - Reforestation and afforestation</t>
  </si>
  <si>
    <t>27-Mbam Djerem</t>
  </si>
  <si>
    <t>PT</t>
  </si>
  <si>
    <t>Malawi</t>
  </si>
  <si>
    <t>E8 - Wildlife-friendly farming</t>
  </si>
  <si>
    <t>28-Ouadi Rime-Ouadi Achim-Ennedi</t>
  </si>
  <si>
    <t>RO</t>
  </si>
  <si>
    <t>Mali</t>
  </si>
  <si>
    <t>E9 - Sustainable fishing practices</t>
  </si>
  <si>
    <t>29-Zakouma-Siniaka-Aouk</t>
  </si>
  <si>
    <t>SK</t>
  </si>
  <si>
    <t>Mauritania</t>
  </si>
  <si>
    <t>E10 - Handicrafts and sustainble products</t>
  </si>
  <si>
    <t>30-Manovo-Gounda Saint Floris-Bamingui</t>
  </si>
  <si>
    <t>SI</t>
  </si>
  <si>
    <t>Mauritius</t>
  </si>
  <si>
    <t>E11 - Green infrastructure development</t>
  </si>
  <si>
    <t>31-Garamba-Bili Uere-Chinko-Southern</t>
  </si>
  <si>
    <t>Mozambique</t>
  </si>
  <si>
    <t>E12 - Biogaz production</t>
  </si>
  <si>
    <t>32-Eastern Gulf of Guinea</t>
  </si>
  <si>
    <t>Namibia</t>
  </si>
  <si>
    <t>E13 - Sustainable livelihoods programmes</t>
  </si>
  <si>
    <t>33-Mont de Cristal-Mont de Nsork</t>
  </si>
  <si>
    <t>Niger</t>
  </si>
  <si>
    <t>E14 - Payment for ecosystems services</t>
  </si>
  <si>
    <t>34-Gamba-Mayumba-Conkouati</t>
  </si>
  <si>
    <t>Nigeria</t>
  </si>
  <si>
    <t>E15 - Sustainable wildlife utilisation</t>
  </si>
  <si>
    <t>35-Greater Minkebe</t>
  </si>
  <si>
    <t>Rwanda</t>
  </si>
  <si>
    <t>E16 - organic certification programmes</t>
  </si>
  <si>
    <t>36-Lope-Waka-Birougou</t>
  </si>
  <si>
    <t>Sao Tome and Principe</t>
  </si>
  <si>
    <t>E17 - Integrated land use planing</t>
  </si>
  <si>
    <t>37-Greater TNS</t>
  </si>
  <si>
    <t>Senegal</t>
  </si>
  <si>
    <t>E18 - Education and training programmes</t>
  </si>
  <si>
    <t>38-Ngiri-Tumba-Maindombe peatlands</t>
  </si>
  <si>
    <t>Seychelles</t>
  </si>
  <si>
    <t>E19 - Micro-finance and green loans</t>
  </si>
  <si>
    <t>39-Salonga</t>
  </si>
  <si>
    <t>Sierra Leone</t>
  </si>
  <si>
    <t>E20 - Local seed banks</t>
  </si>
  <si>
    <t>40-Lomami-Yangambi-Rubi-Tele</t>
  </si>
  <si>
    <t>Somalia</t>
  </si>
  <si>
    <t>G1 - Transparent decision-making</t>
  </si>
  <si>
    <t>41-Okapi-Maiko-Kahuzi Biega</t>
  </si>
  <si>
    <t>South Africa</t>
  </si>
  <si>
    <t>G2 - Stakeholder engagement</t>
  </si>
  <si>
    <t>42-Greater Virunga-Murchison Falls</t>
  </si>
  <si>
    <t>South Sudan</t>
  </si>
  <si>
    <t>G3 - Capacity building</t>
  </si>
  <si>
    <t>43-Upemba-Kundelungu</t>
  </si>
  <si>
    <t>Sudan</t>
  </si>
  <si>
    <t>G4 - Participatory planning</t>
  </si>
  <si>
    <t>44-Sanganeb MNP and Dungonab Bay - Mukkawar Island MNP</t>
  </si>
  <si>
    <t>Tanzania</t>
  </si>
  <si>
    <t>G5 - Legal frameworks</t>
  </si>
  <si>
    <t>45-Khor Abu Habil inland delta</t>
  </si>
  <si>
    <t>Togo</t>
  </si>
  <si>
    <t>G6 - Conflicts resolution mechanisms</t>
  </si>
  <si>
    <t>46-Dinder-Alatish</t>
  </si>
  <si>
    <t>Uganda</t>
  </si>
  <si>
    <t>G7 - Monitoring and evaluation</t>
  </si>
  <si>
    <t>47-Simien Mountains</t>
  </si>
  <si>
    <t>Zambia</t>
  </si>
  <si>
    <t>G8 - Accountability systems</t>
  </si>
  <si>
    <t>48-Dahlak Archipelago</t>
  </si>
  <si>
    <t>Zimbabwe</t>
  </si>
  <si>
    <t>G9 - Anti-corruption measures</t>
  </si>
  <si>
    <t>49-Lower Awash-Lac Abbe</t>
  </si>
  <si>
    <t>G10 - Community land rights</t>
  </si>
  <si>
    <t>50-Gulf of Tadjoura</t>
  </si>
  <si>
    <t>G11 - Human-rights safegards measures</t>
  </si>
  <si>
    <t>51-Daallo mountain range</t>
  </si>
  <si>
    <t>G12 - Policy development</t>
  </si>
  <si>
    <t>52-Boma-Gambella-Badingi-lo-Omo</t>
  </si>
  <si>
    <t>G13 - Public awareness campgains</t>
  </si>
  <si>
    <t>53-Bale Mountains</t>
  </si>
  <si>
    <t>G14 - Data transparency</t>
  </si>
  <si>
    <t>54-Kidepo - Elgon</t>
  </si>
  <si>
    <t>G15 - (Cross-border) collaboration  and partneerships</t>
  </si>
  <si>
    <t>55-Northern Central Kenya</t>
  </si>
  <si>
    <t>G16 - Environmental impact assessments</t>
  </si>
  <si>
    <t>56-Nyungwe-Kibira</t>
  </si>
  <si>
    <t>G17 - Gender inclusion</t>
  </si>
  <si>
    <t>57-Southern Kenya-Northern Tanzania - SOKNOT</t>
  </si>
  <si>
    <t>G18 - Capacity for law enforcement</t>
  </si>
  <si>
    <t>58-North eastern Kenya-Southern Somali coastal</t>
  </si>
  <si>
    <t>G19 - Benfit-sharing mechanisms</t>
  </si>
  <si>
    <t>59-Lake Tanganyika</t>
  </si>
  <si>
    <t>G20 - adaptative management</t>
  </si>
  <si>
    <t>60-West-central Tanzania</t>
  </si>
  <si>
    <t>61-Funzi Bay-Ramisi River Estuary</t>
  </si>
  <si>
    <t>62-Eastern Arc forests</t>
  </si>
  <si>
    <t>63-Jozani Forest-Chwaka Bay</t>
  </si>
  <si>
    <t>64-Mafia-Rufiji-Kilwa Seascape</t>
  </si>
  <si>
    <t>65-Luando-Cangandala</t>
  </si>
  <si>
    <t>66-Iona-Skeleton Coast and associated communal conservancies</t>
  </si>
  <si>
    <t>67-/Ai/Ais-Richtersveld - Sperrgebiet</t>
  </si>
  <si>
    <t>68-Greater KAZA - Lower Zambezi - ZIMOZA - MAZA</t>
  </si>
  <si>
    <t>69-Greater Kalahari</t>
  </si>
  <si>
    <t>70-Cape Floral Region</t>
  </si>
  <si>
    <t>71-Nsumbu</t>
  </si>
  <si>
    <t>72-Bangweulu Wetlands</t>
  </si>
  <si>
    <t>73-Lake Malawi</t>
  </si>
  <si>
    <t>74-Niassa-Selous</t>
  </si>
  <si>
    <t>75-Mnasi Bay-Quirimbas</t>
  </si>
  <si>
    <t>76-Greater Gorongoza</t>
  </si>
  <si>
    <t>77-Chimanimani</t>
  </si>
  <si>
    <t>78-Greater Mapungubwe</t>
  </si>
  <si>
    <t>79-Greater Limpopo</t>
  </si>
  <si>
    <t>80-Lubombo complex</t>
  </si>
  <si>
    <t>81-Maloti-Drakensbergs</t>
  </si>
  <si>
    <t>82-Extreme North</t>
  </si>
  <si>
    <t>83-Marojejy-Tsaratanana-Anjanaharibe-Sud</t>
  </si>
  <si>
    <t>84-MaMaBAIE</t>
  </si>
  <si>
    <t>85-Northwestern</t>
  </si>
  <si>
    <t>86-Bidia-Bezavona</t>
  </si>
  <si>
    <t>87-Ankeniheny-Zahamena</t>
  </si>
  <si>
    <t>88-Menabe</t>
  </si>
  <si>
    <t>89-Fandriana-Marolambo</t>
  </si>
  <si>
    <t>90-Kirindy-Mangoky</t>
  </si>
  <si>
    <t>91-Ambositra-Vondrozo</t>
  </si>
  <si>
    <t>92-Mikea</t>
  </si>
  <si>
    <t>93-Mahafaly Plateau-Karimbola</t>
  </si>
  <si>
    <t>94-Anosy</t>
  </si>
  <si>
    <t>95-Comoros Islands</t>
  </si>
  <si>
    <t>96-Seychelles</t>
  </si>
  <si>
    <t>97-Mauritius</t>
  </si>
  <si>
    <t>Pillar</t>
  </si>
  <si>
    <t>Icon</t>
  </si>
  <si>
    <t>NaturAfrica domain</t>
  </si>
  <si>
    <t>NaturAfrica activities</t>
  </si>
  <si>
    <t>Donor</t>
  </si>
  <si>
    <t>Lead country</t>
  </si>
  <si>
    <t>Implementing modality</t>
  </si>
  <si>
    <t>Scope</t>
  </si>
  <si>
    <t>EU-EU Delegation, DE-BMZ</t>
  </si>
  <si>
    <t>NaturAfrica Pillars</t>
  </si>
  <si>
    <t>Contract title</t>
  </si>
  <si>
    <t>Funding (M€)</t>
  </si>
  <si>
    <t>Starting date</t>
  </si>
  <si>
    <t>Ending date</t>
  </si>
  <si>
    <t>Operator</t>
  </si>
  <si>
    <t xml:space="preserve">Conservation </t>
  </si>
  <si>
    <t>Bénoué</t>
  </si>
  <si>
    <t>WCS, Associations</t>
  </si>
  <si>
    <t>Gashaka-Gumti</t>
  </si>
  <si>
    <t>ANI</t>
  </si>
  <si>
    <t>CaSeVe conservation</t>
  </si>
  <si>
    <t>AWF, Noé</t>
  </si>
  <si>
    <t>CaSeVe agro-pasotralism</t>
  </si>
  <si>
    <t>AFD</t>
  </si>
  <si>
    <t>CaSeVe governance</t>
  </si>
  <si>
    <t>CIFOR-ICRAF</t>
  </si>
  <si>
    <t>ECONORCAM</t>
  </si>
  <si>
    <t>WCS</t>
  </si>
  <si>
    <t>RESINOC</t>
  </si>
  <si>
    <t>INNOVAC</t>
  </si>
  <si>
    <t>ABC-PADER</t>
  </si>
  <si>
    <t>GIZ</t>
  </si>
  <si>
    <t>BSB-Yamoussa</t>
  </si>
  <si>
    <t>WCS, GIZ</t>
  </si>
  <si>
    <t>Borderlands</t>
  </si>
  <si>
    <t>Concordis, HD, WCS, APN</t>
  </si>
  <si>
    <t>PAIRIAC</t>
  </si>
  <si>
    <t>PRADEP</t>
  </si>
  <si>
    <t>ABC - SODECOTON</t>
  </si>
  <si>
    <t>RealGNRS</t>
  </si>
  <si>
    <t>PROFEC</t>
  </si>
  <si>
    <t>?</t>
  </si>
  <si>
    <t>ECHO</t>
  </si>
  <si>
    <t>C1 - Patrolling and surveillance_x000D_
C2 - Community engagement and education_x000D_
C4 - Law enforcement training_x000D_
C6 - Legal and polycy advocacy</t>
  </si>
  <si>
    <t>E13 - Sustainable livelihoods programmes_x000D_
E17 - Integrated land use planing_x000D_
E18 - Education and training programmes</t>
  </si>
  <si>
    <t>G2 - Stakeholder engagement_x000D_
G3 - Capacity building_x000D_
G4 - Participatory planning_x000D_
G6 - Conflicts resolution mechanisms_x000D_
G10 - Community land rights</t>
  </si>
  <si>
    <t xml:space="preserve">Total funding (M€) : </t>
  </si>
  <si>
    <t xml:space="preserve">          NaturAfrica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</si>
</sst>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sz val="26"/>
      <color rgb="FF001263"/>
      <name val="Aptos"/>
      <family val="2"/>
    </font>
    <font>
      <b/>
      <sz val="28"/>
      <color rgb="FF001263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2" borderId="1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Alignment="1">
      <alignment vertical="center"/>
    </xf>
    <xf numFmtId="0" fontId="4" fillId="10" borderId="13" xfId="0" applyFont="1" applyFill="1" applyBorder="1"/>
    <xf numFmtId="0" fontId="4" fillId="10" borderId="6" xfId="0" applyFont="1" applyFill="1" applyBorder="1"/>
    <xf numFmtId="0" fontId="0" fillId="3" borderId="4" xfId="0" applyFill="1" applyBorder="1" applyAlignment="1">
      <alignment vertical="center"/>
    </xf>
    <xf numFmtId="0" fontId="4" fillId="10" borderId="14" xfId="0" applyFont="1" applyFill="1" applyBorder="1"/>
    <xf numFmtId="0" fontId="3" fillId="2" borderId="0" xfId="0" applyFont="1" applyFill="1"/>
    <xf numFmtId="0" fontId="6" fillId="10" borderId="9" xfId="0" applyFont="1" applyFill="1" applyBorder="1" applyAlignment="1">
      <alignment vertical="center"/>
    </xf>
    <xf numFmtId="0" fontId="6" fillId="10" borderId="9" xfId="0" applyFont="1" applyFill="1" applyBorder="1" applyAlignment="1">
      <alignment horizontal="center" vertical="center"/>
    </xf>
    <xf numFmtId="17" fontId="6" fillId="10" borderId="9" xfId="0" applyNumberFormat="1" applyFont="1" applyFill="1" applyBorder="1" applyAlignment="1">
      <alignment horizontal="center" vertical="center"/>
    </xf>
    <xf numFmtId="0" fontId="6" fillId="7" borderId="9" xfId="0" applyFont="1" applyFill="1" applyBorder="1" applyAlignment="1">
      <alignment vertical="center" wrapText="1"/>
    </xf>
    <xf numFmtId="0" fontId="6" fillId="8" borderId="9" xfId="0" applyFont="1" applyFill="1" applyBorder="1" applyAlignment="1">
      <alignment vertical="center" wrapText="1"/>
    </xf>
    <xf numFmtId="0" fontId="6" fillId="9" borderId="10" xfId="0" applyFont="1" applyFill="1" applyBorder="1" applyAlignment="1">
      <alignment vertical="center" wrapText="1"/>
    </xf>
    <xf numFmtId="0" fontId="6" fillId="10" borderId="11" xfId="0" applyFont="1" applyFill="1" applyBorder="1" applyAlignment="1">
      <alignment vertical="center"/>
    </xf>
    <xf numFmtId="0" fontId="6" fillId="10" borderId="11" xfId="0" applyFont="1" applyFill="1" applyBorder="1" applyAlignment="1">
      <alignment horizontal="center" vertical="center"/>
    </xf>
    <xf numFmtId="17" fontId="6" fillId="10" borderId="11" xfId="0" applyNumberFormat="1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vertical="center" wrapText="1"/>
    </xf>
    <xf numFmtId="0" fontId="6" fillId="8" borderId="11" xfId="0" applyFont="1" applyFill="1" applyBorder="1" applyAlignment="1">
      <alignment vertical="center"/>
    </xf>
    <xf numFmtId="0" fontId="6" fillId="9" borderId="12" xfId="0" applyFont="1" applyFill="1" applyBorder="1" applyAlignment="1">
      <alignment vertical="center"/>
    </xf>
    <xf numFmtId="0" fontId="6" fillId="7" borderId="11" xfId="0" applyFont="1" applyFill="1" applyBorder="1" applyAlignment="1">
      <alignment vertical="center"/>
    </xf>
    <xf numFmtId="0" fontId="6" fillId="10" borderId="7" xfId="0" applyFont="1" applyFill="1" applyBorder="1" applyAlignment="1">
      <alignment vertical="center"/>
    </xf>
    <xf numFmtId="0" fontId="6" fillId="10" borderId="7" xfId="0" applyFont="1" applyFill="1" applyBorder="1" applyAlignment="1">
      <alignment horizontal="center" vertical="center"/>
    </xf>
    <xf numFmtId="17" fontId="6" fillId="10" borderId="7" xfId="0" applyNumberFormat="1" applyFont="1" applyFill="1" applyBorder="1" applyAlignment="1">
      <alignment horizontal="center" vertical="center"/>
    </xf>
    <xf numFmtId="0" fontId="6" fillId="7" borderId="7" xfId="0" applyFont="1" applyFill="1" applyBorder="1" applyAlignment="1">
      <alignment vertical="center"/>
    </xf>
    <xf numFmtId="0" fontId="6" fillId="8" borderId="7" xfId="0" applyFont="1" applyFill="1" applyBorder="1" applyAlignment="1">
      <alignment vertical="center"/>
    </xf>
    <xf numFmtId="0" fontId="6" fillId="9" borderId="8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5" fillId="2" borderId="3" xfId="0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9" fillId="2" borderId="2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12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 projects</a:t>
            </a:r>
            <a:r>
              <a:rPr lang="en-US" baseline="0"/>
              <a:t> by NaturAfrica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23-4CD6-9F39-A64444A669B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23-4CD6-9F39-A64444A669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23-4CD6-9F39-A64444A669B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[1]Contracts!$A$36:$A$38</c:f>
              <c:strCache>
                <c:ptCount val="3"/>
                <c:pt idx="0">
                  <c:v>Conservation</c:v>
                </c:pt>
                <c:pt idx="1">
                  <c:v>Green Economy</c:v>
                </c:pt>
                <c:pt idx="2">
                  <c:v>Governance</c:v>
                </c:pt>
              </c:strCache>
            </c:strRef>
          </c:cat>
          <c:val>
            <c:numRef>
              <c:f>[1]Contracts!$B$36:$B$38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623-4CD6-9F39-A64444A66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 projects by funding source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F0-453D-9752-4F01500EE7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F0-453D-9752-4F01500EE7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F0-453D-9752-4F01500EE7C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5F0-453D-9752-4F01500EE7C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5F0-453D-9752-4F01500EE7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[1]Contracts!$A$29:$A$33</c:f>
              <c:strCache>
                <c:ptCount val="5"/>
                <c:pt idx="0">
                  <c:v>EU - Global</c:v>
                </c:pt>
                <c:pt idx="1">
                  <c:v>EU - Regional</c:v>
                </c:pt>
                <c:pt idx="2">
                  <c:v>EU - National</c:v>
                </c:pt>
                <c:pt idx="3">
                  <c:v>DE - KfW</c:v>
                </c:pt>
                <c:pt idx="4">
                  <c:v>DE- BMZ</c:v>
                </c:pt>
              </c:strCache>
            </c:strRef>
          </c:cat>
          <c:val>
            <c:numRef>
              <c:f>[1]Contracts!$B$29:$B$33</c:f>
              <c:numCache>
                <c:formatCode>General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F0-453D-9752-4F01500E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1"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[1]GANTT!$B$1</c:f>
              <c:strCache>
                <c:ptCount val="1"/>
                <c:pt idx="0">
                  <c:v>Starting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[1]GANTT!$A$2:$A$10</c:f>
              <c:strCache>
                <c:ptCount val="9"/>
                <c:pt idx="0">
                  <c:v>Bénoué</c:v>
                </c:pt>
                <c:pt idx="1">
                  <c:v>Tchabal-Mbabo (Nigeria)</c:v>
                </c:pt>
                <c:pt idx="2">
                  <c:v>CaSeVe conservation</c:v>
                </c:pt>
                <c:pt idx="3">
                  <c:v>CaSeVe agro-pasotralism</c:v>
                </c:pt>
                <c:pt idx="4">
                  <c:v>CaSeVe governance</c:v>
                </c:pt>
                <c:pt idx="5">
                  <c:v>ECONORCAM</c:v>
                </c:pt>
                <c:pt idx="6">
                  <c:v>RESINOC</c:v>
                </c:pt>
                <c:pt idx="7">
                  <c:v>INNOVAC</c:v>
                </c:pt>
                <c:pt idx="8">
                  <c:v>ABC-PADER</c:v>
                </c:pt>
              </c:strCache>
            </c:strRef>
          </c:cat>
          <c:val>
            <c:numRef>
              <c:f>[1]GANTT!$B$2:$B$10</c:f>
              <c:numCache>
                <c:formatCode>General</c:formatCode>
                <c:ptCount val="9"/>
                <c:pt idx="0">
                  <c:v>44911</c:v>
                </c:pt>
                <c:pt idx="1">
                  <c:v>45495</c:v>
                </c:pt>
                <c:pt idx="2">
                  <c:v>44917</c:v>
                </c:pt>
                <c:pt idx="3">
                  <c:v>45094</c:v>
                </c:pt>
                <c:pt idx="4">
                  <c:v>45106</c:v>
                </c:pt>
                <c:pt idx="5">
                  <c:v>44197</c:v>
                </c:pt>
                <c:pt idx="6">
                  <c:v>44098</c:v>
                </c:pt>
                <c:pt idx="7">
                  <c:v>44554</c:v>
                </c:pt>
                <c:pt idx="8">
                  <c:v>43864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A93-AF63-C7070DC01BBF}"/>
            </c:ext>
          </c:extLst>
        </c:ser>
        <c:ser>
          <c:idx val="1"/>
          <c:order val="1"/>
          <c:tx>
            <c:strRef>
              <c:f>[1]GANTT!$C$1</c:f>
              <c:strCache>
                <c:ptCount val="1"/>
                <c:pt idx="0">
                  <c:v>Implementation phase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>
                <a:gsLst>
                  <a:gs pos="30000">
                    <a:schemeClr val="accent6">
                      <a:lumMod val="60000"/>
                      <a:lumOff val="40000"/>
                    </a:schemeClr>
                  </a:gs>
                  <a:gs pos="68000">
                    <a:schemeClr val="accent2">
                      <a:lumMod val="60000"/>
                      <a:lumOff val="4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DB1-4A93-AF63-C7070DC01BB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DB1-4A93-AF63-C7070DC01BB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FDB1-4A93-AF63-C7070DC01BB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DB1-4A93-AF63-C7070DC01BBF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DB1-4A93-AF63-C7070DC01BBF}"/>
              </c:ext>
            </c:extLst>
          </c:dPt>
          <c:dPt>
            <c:idx val="5"/>
            <c:invertIfNegative val="0"/>
            <c:bubble3D val="0"/>
            <c:spPr>
              <a:gradFill>
                <a:gsLst>
                  <a:gs pos="0">
                    <a:schemeClr val="accent6">
                      <a:lumMod val="60000"/>
                      <a:lumOff val="40000"/>
                    </a:schemeClr>
                  </a:gs>
                  <a:gs pos="51000">
                    <a:schemeClr val="tx2">
                      <a:lumMod val="25000"/>
                      <a:lumOff val="75000"/>
                    </a:schemeClr>
                  </a:gs>
                  <a:gs pos="82000">
                    <a:schemeClr val="accent2">
                      <a:lumMod val="60000"/>
                      <a:lumOff val="40000"/>
                    </a:schemeClr>
                  </a:gs>
                </a:gsLst>
                <a:lin ang="540000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FDB1-4A93-AF63-C7070DC01BB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FDB1-4A93-AF63-C7070DC01BB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DB1-4A93-AF63-C7070DC01BB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DB1-4A93-AF63-C7070DC01BBF}"/>
              </c:ext>
            </c:extLst>
          </c:dPt>
          <c:cat>
            <c:strRef>
              <c:f>[1]GANTT!$A$2:$A$10</c:f>
              <c:strCache>
                <c:ptCount val="9"/>
                <c:pt idx="0">
                  <c:v>Bénoué</c:v>
                </c:pt>
                <c:pt idx="1">
                  <c:v>Tchabal-Mbabo (Nigeria)</c:v>
                </c:pt>
                <c:pt idx="2">
                  <c:v>CaSeVe conservation</c:v>
                </c:pt>
                <c:pt idx="3">
                  <c:v>CaSeVe agro-pasotralism</c:v>
                </c:pt>
                <c:pt idx="4">
                  <c:v>CaSeVe governance</c:v>
                </c:pt>
                <c:pt idx="5">
                  <c:v>ECONORCAM</c:v>
                </c:pt>
                <c:pt idx="6">
                  <c:v>RESINOC</c:v>
                </c:pt>
                <c:pt idx="7">
                  <c:v>INNOVAC</c:v>
                </c:pt>
                <c:pt idx="8">
                  <c:v>ABC-PADER</c:v>
                </c:pt>
              </c:strCache>
            </c:strRef>
          </c:cat>
          <c:val>
            <c:numRef>
              <c:f>[1]GANTT!$C$2:$C$10</c:f>
              <c:numCache>
                <c:formatCode>General</c:formatCode>
                <c:ptCount val="9"/>
                <c:pt idx="0">
                  <c:v>2764</c:v>
                </c:pt>
                <c:pt idx="1">
                  <c:v>1461</c:v>
                </c:pt>
                <c:pt idx="2">
                  <c:v>1825</c:v>
                </c:pt>
                <c:pt idx="3">
                  <c:v>1643</c:v>
                </c:pt>
                <c:pt idx="4">
                  <c:v>1826</c:v>
                </c:pt>
                <c:pt idx="5">
                  <c:v>1460</c:v>
                </c:pt>
                <c:pt idx="6">
                  <c:v>1460</c:v>
                </c:pt>
                <c:pt idx="7">
                  <c:v>1460</c:v>
                </c:pt>
                <c:pt idx="8">
                  <c:v>1827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1-4A93-AF63-C7070DC01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100342511"/>
        <c:axId val="1100343471"/>
      </c:barChart>
      <c:catAx>
        <c:axId val="110034251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00343471"/>
        <c:crosses val="autoZero"/>
        <c:auto val="1"/>
        <c:lblAlgn val="ctr"/>
        <c:lblOffset val="100"/>
        <c:noMultiLvlLbl val="0"/>
      </c:catAx>
      <c:valAx>
        <c:axId val="1100343471"/>
        <c:scaling>
          <c:orientation val="minMax"/>
          <c:min val="4350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11003425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# projects by NaturAfrica domain of intervention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161-44F6-8204-D7E1D15554C7}"/>
              </c:ext>
            </c:extLst>
          </c:dPt>
          <c:dPt>
            <c:idx val="1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161-44F6-8204-D7E1D15554C7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161-44F6-8204-D7E1D15554C7}"/>
              </c:ext>
            </c:extLst>
          </c:dPt>
          <c:dPt>
            <c:idx val="3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161-44F6-8204-D7E1D15554C7}"/>
              </c:ext>
            </c:extLst>
          </c:dPt>
          <c:dPt>
            <c:idx val="4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161-44F6-8204-D7E1D15554C7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161-44F6-8204-D7E1D15554C7}"/>
              </c:ext>
            </c:extLst>
          </c:dPt>
          <c:dPt>
            <c:idx val="6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161-44F6-8204-D7E1D15554C7}"/>
              </c:ext>
            </c:extLst>
          </c:dPt>
          <c:dPt>
            <c:idx val="7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161-44F6-8204-D7E1D15554C7}"/>
              </c:ext>
            </c:extLst>
          </c:dPt>
          <c:dPt>
            <c:idx val="8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161-44F6-8204-D7E1D15554C7}"/>
              </c:ext>
            </c:extLst>
          </c:dPt>
          <c:dPt>
            <c:idx val="9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161-44F6-8204-D7E1D15554C7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LID4096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([1]Contracts!$A$40:$A$41,[1]Contracts!$A$46:$A$49,[1]Contracts!$A$51,[1]Contracts!$A$54:$A$56)</c:f>
              <c:strCache>
                <c:ptCount val="10"/>
                <c:pt idx="0">
                  <c:v>C - Anti-poaching</c:v>
                </c:pt>
                <c:pt idx="1">
                  <c:v>C - CPA management</c:v>
                </c:pt>
                <c:pt idx="2">
                  <c:v>C - Restoration</c:v>
                </c:pt>
                <c:pt idx="3">
                  <c:v>E - Sustainable agriculture, pastoralism, forestry, fischeries</c:v>
                </c:pt>
                <c:pt idx="4">
                  <c:v>E - Circular economy</c:v>
                </c:pt>
                <c:pt idx="5">
                  <c:v>E - PES/NBS</c:v>
                </c:pt>
                <c:pt idx="6">
                  <c:v>G - Land-use planing</c:v>
                </c:pt>
                <c:pt idx="7">
                  <c:v>G - (Cross-border) particpatory governance</c:v>
                </c:pt>
                <c:pt idx="8">
                  <c:v>G - Institutional capacity building</c:v>
                </c:pt>
                <c:pt idx="9">
                  <c:v>G - Peace &amp; Security</c:v>
                </c:pt>
              </c:strCache>
            </c:strRef>
          </c:cat>
          <c:val>
            <c:numRef>
              <c:f>([1]Contracts!$B$40:$B$41,[1]Contracts!$B$46:$B$49,[1]Contracts!$B$51,[1]Contracts!$B$54:$B$56)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161-44F6-8204-D7E1D15554C7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685020804141875"/>
          <c:y val="0.15856123117901835"/>
          <c:w val="0.39205935478784948"/>
          <c:h val="0.73956149412460825"/>
        </c:manualLayout>
      </c:layout>
      <c:overlay val="0"/>
      <c:spPr>
        <a:solidFill>
          <a:schemeClr val="bg1"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8.JPG"/><Relationship Id="rId6" Type="http://schemas.openxmlformats.org/officeDocument/2006/relationships/image" Target="../media/image19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1813</xdr:colOff>
      <xdr:row>1</xdr:row>
      <xdr:rowOff>31750</xdr:rowOff>
    </xdr:from>
    <xdr:to>
      <xdr:col>6</xdr:col>
      <xdr:colOff>608847</xdr:colOff>
      <xdr:row>27</xdr:row>
      <xdr:rowOff>1065893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001416-9CAD-405B-909F-C5FA02B30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" y="1120321"/>
          <a:ext cx="7901975" cy="5751286"/>
        </a:xfrm>
        <a:prstGeom prst="rect">
          <a:avLst/>
        </a:prstGeom>
      </xdr:spPr>
    </xdr:pic>
    <xdr:clientData/>
  </xdr:twoCellAnchor>
  <xdr:twoCellAnchor>
    <xdr:from>
      <xdr:col>7</xdr:col>
      <xdr:colOff>34017</xdr:colOff>
      <xdr:row>1</xdr:row>
      <xdr:rowOff>27807</xdr:rowOff>
    </xdr:from>
    <xdr:to>
      <xdr:col>9</xdr:col>
      <xdr:colOff>1968085</xdr:colOff>
      <xdr:row>17</xdr:row>
      <xdr:rowOff>2905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84A6C6-5D13-40A4-906A-E634C78F04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41579</xdr:colOff>
      <xdr:row>17</xdr:row>
      <xdr:rowOff>135256</xdr:rowOff>
    </xdr:from>
    <xdr:to>
      <xdr:col>9</xdr:col>
      <xdr:colOff>1984375</xdr:colOff>
      <xdr:row>27</xdr:row>
      <xdr:rowOff>1088572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603808C-C6C3-4D75-B643-455B9AFD0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2165802</xdr:colOff>
      <xdr:row>1</xdr:row>
      <xdr:rowOff>22681</xdr:rowOff>
    </xdr:from>
    <xdr:to>
      <xdr:col>11</xdr:col>
      <xdr:colOff>2800804</xdr:colOff>
      <xdr:row>17</xdr:row>
      <xdr:rowOff>34017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4363E42-692A-4F68-8DB6-E24F0F78C9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2143126</xdr:colOff>
      <xdr:row>17</xdr:row>
      <xdr:rowOff>158749</xdr:rowOff>
    </xdr:from>
    <xdr:to>
      <xdr:col>11</xdr:col>
      <xdr:colOff>2834823</xdr:colOff>
      <xdr:row>27</xdr:row>
      <xdr:rowOff>1133929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6F46D8-A0D9-4B02-9E22-21FCBD50F5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151848</xdr:colOff>
      <xdr:row>0</xdr:row>
      <xdr:rowOff>0</xdr:rowOff>
    </xdr:from>
    <xdr:to>
      <xdr:col>2</xdr:col>
      <xdr:colOff>96631</xdr:colOff>
      <xdr:row>0</xdr:row>
      <xdr:rowOff>1296746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184939C-9EBF-9886-2B19-011523F7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848" y="0"/>
          <a:ext cx="2305326" cy="12967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a_B4L2\0_Programs\NaturAfrica\Fiches\Fiches_NA_DB_24_v5.xlsm" TargetMode="External"/><Relationship Id="rId1" Type="http://schemas.openxmlformats.org/officeDocument/2006/relationships/externalLinkPath" Target="Fiches_NA_DB_24_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che"/>
      <sheetName val="Contracts"/>
      <sheetName val="Reference"/>
      <sheetName val="Sheet1"/>
      <sheetName val="GANTT"/>
    </sheetNames>
    <sheetDataSet>
      <sheetData sheetId="0"/>
      <sheetData sheetId="1">
        <row r="29">
          <cell r="A29" t="str">
            <v>EU - Global</v>
          </cell>
          <cell r="B29">
            <v>3</v>
          </cell>
        </row>
        <row r="30">
          <cell r="A30" t="str">
            <v>EU - Regional</v>
          </cell>
          <cell r="B30">
            <v>3</v>
          </cell>
        </row>
        <row r="31">
          <cell r="A31" t="str">
            <v>EU - National</v>
          </cell>
          <cell r="B31">
            <v>4</v>
          </cell>
        </row>
        <row r="32">
          <cell r="A32" t="str">
            <v>DE - KfW</v>
          </cell>
          <cell r="B32">
            <v>1</v>
          </cell>
        </row>
        <row r="33">
          <cell r="A33" t="str">
            <v>DE- BMZ</v>
          </cell>
          <cell r="B33">
            <v>1</v>
          </cell>
        </row>
        <row r="36">
          <cell r="A36" t="str">
            <v>Conservation</v>
          </cell>
          <cell r="B36">
            <v>5</v>
          </cell>
        </row>
        <row r="37">
          <cell r="A37" t="str">
            <v>Green Economy</v>
          </cell>
          <cell r="B37">
            <v>8</v>
          </cell>
        </row>
        <row r="38">
          <cell r="A38" t="str">
            <v>Governance</v>
          </cell>
          <cell r="B38">
            <v>3</v>
          </cell>
        </row>
        <row r="40">
          <cell r="A40" t="str">
            <v>C - Anti-poaching</v>
          </cell>
          <cell r="B40">
            <v>1</v>
          </cell>
        </row>
        <row r="41">
          <cell r="A41" t="str">
            <v>C - CPA management</v>
          </cell>
          <cell r="B41">
            <v>4</v>
          </cell>
        </row>
        <row r="46">
          <cell r="A46" t="str">
            <v>C - Restoration</v>
          </cell>
          <cell r="B46">
            <v>1</v>
          </cell>
        </row>
        <row r="47">
          <cell r="A47" t="str">
            <v>E - Sustainable agriculture, pastoralism, forestry, fischeries</v>
          </cell>
          <cell r="B47">
            <v>9</v>
          </cell>
        </row>
        <row r="48">
          <cell r="A48" t="str">
            <v>E - Circular economy</v>
          </cell>
          <cell r="B48">
            <v>3</v>
          </cell>
        </row>
        <row r="49">
          <cell r="A49" t="str">
            <v>E - PES/NBS</v>
          </cell>
          <cell r="B49">
            <v>1</v>
          </cell>
        </row>
        <row r="51">
          <cell r="A51" t="str">
            <v>G - Land-use planing</v>
          </cell>
          <cell r="B51">
            <v>4</v>
          </cell>
        </row>
        <row r="54">
          <cell r="A54" t="str">
            <v>G - (Cross-border) particpatory governance</v>
          </cell>
          <cell r="B54">
            <v>2</v>
          </cell>
        </row>
        <row r="55">
          <cell r="A55" t="str">
            <v>G - Institutional capacity building</v>
          </cell>
          <cell r="B55">
            <v>1</v>
          </cell>
        </row>
        <row r="56">
          <cell r="A56" t="str">
            <v>G - Peace &amp; Security</v>
          </cell>
          <cell r="B56">
            <v>1</v>
          </cell>
        </row>
      </sheetData>
      <sheetData sheetId="2"/>
      <sheetData sheetId="3"/>
      <sheetData sheetId="4">
        <row r="1">
          <cell r="B1" t="str">
            <v>Starting date</v>
          </cell>
          <cell r="C1" t="str">
            <v>Implementation phase</v>
          </cell>
        </row>
        <row r="2">
          <cell r="A2" t="str">
            <v>Bénoué</v>
          </cell>
          <cell r="B2">
            <v>44911</v>
          </cell>
          <cell r="C2">
            <v>2764</v>
          </cell>
        </row>
        <row r="3">
          <cell r="A3" t="str">
            <v>Tchabal-Mbabo (Nigeria)</v>
          </cell>
          <cell r="B3">
            <v>45495</v>
          </cell>
          <cell r="C3">
            <v>1461</v>
          </cell>
        </row>
        <row r="4">
          <cell r="A4" t="str">
            <v>CaSeVe conservation</v>
          </cell>
          <cell r="B4">
            <v>44917</v>
          </cell>
          <cell r="C4">
            <v>1825</v>
          </cell>
        </row>
        <row r="5">
          <cell r="A5" t="str">
            <v>CaSeVe agro-pasotralism</v>
          </cell>
          <cell r="B5">
            <v>45094</v>
          </cell>
          <cell r="C5">
            <v>1643</v>
          </cell>
        </row>
        <row r="6">
          <cell r="A6" t="str">
            <v>CaSeVe governance</v>
          </cell>
          <cell r="B6">
            <v>45106</v>
          </cell>
          <cell r="C6">
            <v>1826</v>
          </cell>
        </row>
        <row r="7">
          <cell r="A7" t="str">
            <v>ECONORCAM</v>
          </cell>
          <cell r="B7">
            <v>44197</v>
          </cell>
          <cell r="C7">
            <v>1460</v>
          </cell>
        </row>
        <row r="8">
          <cell r="A8" t="str">
            <v>RESINOC</v>
          </cell>
          <cell r="B8">
            <v>44098</v>
          </cell>
          <cell r="C8">
            <v>1460</v>
          </cell>
        </row>
        <row r="9">
          <cell r="A9" t="str">
            <v>INNOVAC</v>
          </cell>
          <cell r="B9">
            <v>44554</v>
          </cell>
          <cell r="C9">
            <v>1460</v>
          </cell>
        </row>
        <row r="10">
          <cell r="A10" t="str">
            <v>ABC-PADER</v>
          </cell>
          <cell r="B10">
            <v>43864</v>
          </cell>
          <cell r="C10">
            <v>1827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7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4BDD7D-2651-4C83-838C-5276141B004E}" name="Table1" displayName="Table1" ref="B1:J98" totalsRowShown="0">
  <autoFilter ref="B1:J98" xr:uid="{D44BDD7D-2651-4C83-838C-5276141B004E}"/>
  <tableColumns count="9">
    <tableColumn id="1" xr3:uid="{518CAE02-C702-4644-81A0-42CE92FDC1B1}" name="Pillar"/>
    <tableColumn id="6" xr3:uid="{768FD0F2-E180-4AC3-A575-2E1F51E0D9BE}" name="Icon"/>
    <tableColumn id="3" xr3:uid="{4C8FCCFA-5810-46A4-BA48-28AAE95A34DC}" name="NaturAfrica domain"/>
    <tableColumn id="7" xr3:uid="{14C8831F-94CA-4325-8F84-C7B9AFF8049F}" name="NaturAfrica activities"/>
    <tableColumn id="4" xr3:uid="{DD5CF841-7ECC-493E-9C65-668998E83E69}" name="KLCD"/>
    <tableColumn id="5" xr3:uid="{03CBFCDD-E5B1-4C57-A7D0-63610D6AEDF4}" name="Donor"/>
    <tableColumn id="9" xr3:uid="{93641511-02CC-40A9-B1F7-83CAF213EFEC}" name="Lead country"/>
    <tableColumn id="8" xr3:uid="{B9317784-9215-49C7-85CC-033F9DCDE608}" name="Implementing modality"/>
    <tableColumn id="2" xr3:uid="{B06B12E7-EAF4-43C7-B740-625652514D03}" name="Sco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6D3CE-1E18-4B11-A06C-3D683850A548}">
  <sheetPr codeName="Sheet1">
    <pageSetUpPr fitToPage="1"/>
  </sheetPr>
  <dimension ref="A1:L48"/>
  <sheetViews>
    <sheetView tabSelected="1" zoomScale="40" zoomScaleNormal="40" workbookViewId="0">
      <selection activeCell="T13" sqref="T13"/>
    </sheetView>
  </sheetViews>
  <sheetFormatPr defaultRowHeight="14.5" x14ac:dyDescent="0.35"/>
  <cols>
    <col min="1" max="1" width="3.26953125" customWidth="1"/>
    <col min="2" max="2" width="30.453125" customWidth="1"/>
    <col min="3" max="3" width="22.1796875" customWidth="1"/>
    <col min="4" max="4" width="15.81640625" customWidth="1"/>
    <col min="5" max="5" width="25" customWidth="1"/>
    <col min="6" max="6" width="11" customWidth="1"/>
    <col min="7" max="7" width="17.7265625" customWidth="1"/>
    <col min="8" max="8" width="15.453125" customWidth="1"/>
    <col min="9" max="9" width="22.6328125" customWidth="1"/>
    <col min="10" max="12" width="44.7265625" customWidth="1"/>
  </cols>
  <sheetData>
    <row r="1" spans="1:12" ht="104" customHeight="1" x14ac:dyDescent="0.35">
      <c r="A1" s="4"/>
      <c r="C1" s="40" t="s">
        <v>310</v>
      </c>
      <c r="D1" s="38"/>
      <c r="E1" s="38"/>
      <c r="F1" s="38"/>
      <c r="G1" s="41" t="str">
        <f>Reference!F27</f>
        <v>26-Gashaka-Faro-Bouba-Ndji-da-Binder</v>
      </c>
      <c r="I1" s="38"/>
      <c r="J1" s="38"/>
      <c r="K1" s="38"/>
      <c r="L1" s="39"/>
    </row>
    <row r="2" spans="1:12" x14ac:dyDescent="0.35">
      <c r="A2" s="5"/>
      <c r="B2" s="2"/>
      <c r="C2" s="2"/>
      <c r="D2" s="2"/>
      <c r="E2" s="2"/>
      <c r="F2" s="2"/>
      <c r="G2" s="2"/>
      <c r="H2" s="2"/>
      <c r="I2" s="2"/>
      <c r="J2" s="2"/>
      <c r="K2" s="2"/>
      <c r="L2" s="6"/>
    </row>
    <row r="3" spans="1:12" x14ac:dyDescent="0.35">
      <c r="A3" s="5"/>
      <c r="B3" s="2"/>
      <c r="C3" s="2"/>
      <c r="D3" s="2"/>
      <c r="E3" s="2"/>
      <c r="F3" s="2"/>
      <c r="G3" s="2"/>
      <c r="H3" s="2"/>
      <c r="I3" s="2"/>
      <c r="J3" s="2"/>
      <c r="K3" s="2"/>
      <c r="L3" s="6"/>
    </row>
    <row r="4" spans="1:12" x14ac:dyDescent="0.35">
      <c r="A4" s="5"/>
      <c r="B4" s="2"/>
      <c r="C4" s="2"/>
      <c r="D4" s="2"/>
      <c r="E4" s="2"/>
      <c r="F4" s="2"/>
      <c r="G4" s="2"/>
      <c r="H4" s="2"/>
      <c r="I4" s="2"/>
      <c r="J4" s="2"/>
      <c r="K4" s="2"/>
      <c r="L4" s="6"/>
    </row>
    <row r="5" spans="1:12" x14ac:dyDescent="0.35">
      <c r="A5" s="5"/>
      <c r="B5" s="2"/>
      <c r="C5" s="2"/>
      <c r="D5" s="2"/>
      <c r="E5" s="2"/>
      <c r="F5" s="2"/>
      <c r="G5" s="2"/>
      <c r="H5" s="2"/>
      <c r="I5" s="2"/>
      <c r="J5" s="2"/>
      <c r="K5" s="2"/>
      <c r="L5" s="6"/>
    </row>
    <row r="6" spans="1:12" x14ac:dyDescent="0.35">
      <c r="A6" s="5"/>
      <c r="B6" s="2"/>
      <c r="C6" s="2"/>
      <c r="D6" s="2"/>
      <c r="E6" s="2"/>
      <c r="F6" s="2"/>
      <c r="G6" s="2"/>
      <c r="H6" s="2"/>
      <c r="I6" s="2"/>
      <c r="J6" s="2"/>
      <c r="K6" s="2"/>
      <c r="L6" s="6"/>
    </row>
    <row r="7" spans="1:12" x14ac:dyDescent="0.35">
      <c r="A7" s="5"/>
      <c r="B7" s="2"/>
      <c r="C7" s="2"/>
      <c r="D7" s="2"/>
      <c r="E7" s="2"/>
      <c r="F7" s="2"/>
      <c r="G7" s="2"/>
      <c r="H7" s="2"/>
      <c r="I7" s="2"/>
      <c r="J7" s="2"/>
      <c r="K7" s="2"/>
      <c r="L7" s="6"/>
    </row>
    <row r="8" spans="1:12" x14ac:dyDescent="0.35">
      <c r="A8" s="5"/>
      <c r="B8" s="2"/>
      <c r="C8" s="2"/>
      <c r="D8" s="2"/>
      <c r="E8" s="2"/>
      <c r="F8" s="2"/>
      <c r="G8" s="2"/>
      <c r="H8" s="2"/>
      <c r="I8" s="2"/>
      <c r="J8" s="2"/>
      <c r="K8" s="2"/>
      <c r="L8" s="6"/>
    </row>
    <row r="9" spans="1:12" x14ac:dyDescent="0.35">
      <c r="A9" s="5"/>
      <c r="B9" s="2"/>
      <c r="C9" s="2"/>
      <c r="D9" s="2"/>
      <c r="E9" s="2"/>
      <c r="F9" s="2"/>
      <c r="G9" s="2"/>
      <c r="H9" s="2"/>
      <c r="I9" s="2"/>
      <c r="J9" s="2"/>
      <c r="K9" s="2"/>
      <c r="L9" s="6"/>
    </row>
    <row r="10" spans="1:12" x14ac:dyDescent="0.35">
      <c r="A10" s="5"/>
      <c r="B10" s="2"/>
      <c r="C10" s="2"/>
      <c r="D10" s="2"/>
      <c r="E10" s="2"/>
      <c r="F10" s="2"/>
      <c r="G10" s="2"/>
      <c r="H10" s="2"/>
      <c r="I10" s="2"/>
      <c r="J10" s="2"/>
      <c r="K10" s="2"/>
      <c r="L10" s="6"/>
    </row>
    <row r="11" spans="1:12" x14ac:dyDescent="0.35">
      <c r="A11" s="5"/>
      <c r="B11" s="2"/>
      <c r="C11" s="2"/>
      <c r="D11" s="2"/>
      <c r="E11" s="2"/>
      <c r="F11" s="2"/>
      <c r="G11" s="2"/>
      <c r="H11" s="2"/>
      <c r="I11" s="2"/>
      <c r="J11" s="2"/>
      <c r="K11" s="2"/>
      <c r="L11" s="6"/>
    </row>
    <row r="12" spans="1:12" x14ac:dyDescent="0.35">
      <c r="A12" s="5"/>
      <c r="B12" s="2"/>
      <c r="C12" s="2"/>
      <c r="D12" s="2"/>
      <c r="E12" s="2"/>
      <c r="F12" s="2"/>
      <c r="G12" s="2"/>
      <c r="H12" s="2"/>
      <c r="I12" s="2"/>
      <c r="J12" s="2"/>
      <c r="K12" s="2"/>
      <c r="L12" s="6"/>
    </row>
    <row r="13" spans="1:12" x14ac:dyDescent="0.35">
      <c r="A13" s="5"/>
      <c r="B13" s="2"/>
      <c r="C13" s="2"/>
      <c r="D13" s="2"/>
      <c r="E13" s="2"/>
      <c r="F13" s="2"/>
      <c r="G13" s="2"/>
      <c r="H13" s="2"/>
      <c r="I13" s="2"/>
      <c r="J13" s="2"/>
      <c r="K13" s="2"/>
      <c r="L13" s="6"/>
    </row>
    <row r="14" spans="1:12" x14ac:dyDescent="0.35">
      <c r="A14" s="5"/>
      <c r="B14" s="2"/>
      <c r="C14" s="2"/>
      <c r="D14" s="2"/>
      <c r="E14" s="2"/>
      <c r="F14" s="2"/>
      <c r="G14" s="2"/>
      <c r="H14" s="2"/>
      <c r="I14" s="2"/>
      <c r="J14" s="2"/>
      <c r="K14" s="2"/>
      <c r="L14" s="6"/>
    </row>
    <row r="15" spans="1:12" x14ac:dyDescent="0.35">
      <c r="A15" s="5"/>
      <c r="B15" s="2"/>
      <c r="C15" s="2"/>
      <c r="D15" s="2"/>
      <c r="E15" s="2"/>
      <c r="F15" s="2"/>
      <c r="G15" s="2"/>
      <c r="H15" s="2"/>
      <c r="I15" s="2"/>
      <c r="J15" s="2"/>
      <c r="K15" s="2"/>
      <c r="L15" s="6"/>
    </row>
    <row r="16" spans="1:12" x14ac:dyDescent="0.35">
      <c r="A16" s="5"/>
      <c r="B16" s="2"/>
      <c r="C16" s="2"/>
      <c r="D16" s="2"/>
      <c r="E16" s="2"/>
      <c r="F16" s="2"/>
      <c r="G16" s="2"/>
      <c r="H16" s="2"/>
      <c r="I16" s="2"/>
      <c r="J16" s="2"/>
      <c r="K16" s="2"/>
      <c r="L16" s="6"/>
    </row>
    <row r="17" spans="1:12" x14ac:dyDescent="0.35">
      <c r="A17" s="5"/>
      <c r="B17" s="2"/>
      <c r="C17" s="2"/>
      <c r="D17" s="2"/>
      <c r="E17" s="2"/>
      <c r="F17" s="2"/>
      <c r="G17" s="2"/>
      <c r="H17" s="2"/>
      <c r="I17" s="2"/>
      <c r="J17" s="2"/>
      <c r="K17" s="2"/>
      <c r="L17" s="6"/>
    </row>
    <row r="18" spans="1:12" x14ac:dyDescent="0.35">
      <c r="A18" s="5"/>
      <c r="B18" s="2"/>
      <c r="C18" s="2"/>
      <c r="D18" s="2"/>
      <c r="E18" s="2"/>
      <c r="F18" s="2"/>
      <c r="G18" s="2"/>
      <c r="H18" s="2"/>
      <c r="I18" s="2"/>
      <c r="J18" s="2"/>
      <c r="K18" s="2"/>
      <c r="L18" s="6"/>
    </row>
    <row r="19" spans="1:12" x14ac:dyDescent="0.35">
      <c r="A19" s="5"/>
      <c r="B19" s="2"/>
      <c r="C19" s="2"/>
      <c r="D19" s="2"/>
      <c r="E19" s="2"/>
      <c r="F19" s="2"/>
      <c r="G19" s="2"/>
      <c r="H19" s="2"/>
      <c r="I19" s="2"/>
      <c r="J19" s="2"/>
      <c r="K19" s="2"/>
      <c r="L19" s="6"/>
    </row>
    <row r="20" spans="1:12" x14ac:dyDescent="0.35">
      <c r="A20" s="5"/>
      <c r="B20" s="2"/>
      <c r="C20" s="2"/>
      <c r="D20" s="2"/>
      <c r="E20" s="2"/>
      <c r="F20" s="2"/>
      <c r="G20" s="2"/>
      <c r="H20" s="2"/>
      <c r="I20" s="2"/>
      <c r="J20" s="2"/>
      <c r="K20" s="2"/>
      <c r="L20" s="6"/>
    </row>
    <row r="21" spans="1:12" x14ac:dyDescent="0.35">
      <c r="A21" s="5"/>
      <c r="B21" s="2"/>
      <c r="C21" s="2"/>
      <c r="D21" s="2"/>
      <c r="E21" s="2"/>
      <c r="F21" s="2"/>
      <c r="G21" s="2"/>
      <c r="H21" s="2"/>
      <c r="I21" s="2"/>
      <c r="J21" s="2"/>
      <c r="K21" s="2"/>
      <c r="L21" s="6"/>
    </row>
    <row r="22" spans="1:12" x14ac:dyDescent="0.35">
      <c r="A22" s="5"/>
      <c r="B22" s="2"/>
      <c r="C22" s="2"/>
      <c r="D22" s="2"/>
      <c r="E22" s="2"/>
      <c r="F22" s="2"/>
      <c r="G22" s="2"/>
      <c r="H22" s="2"/>
      <c r="I22" s="2"/>
      <c r="J22" s="2"/>
      <c r="K22" s="2"/>
      <c r="L22" s="6"/>
    </row>
    <row r="23" spans="1:12" x14ac:dyDescent="0.35">
      <c r="A23" s="5"/>
      <c r="B23" s="2"/>
      <c r="C23" s="2"/>
      <c r="D23" s="2"/>
      <c r="E23" s="2"/>
      <c r="F23" s="2"/>
      <c r="G23" s="2"/>
      <c r="H23" s="2"/>
      <c r="I23" s="2"/>
      <c r="J23" s="2"/>
      <c r="K23" s="2"/>
      <c r="L23" s="6"/>
    </row>
    <row r="24" spans="1:12" x14ac:dyDescent="0.35">
      <c r="A24" s="5"/>
      <c r="B24" s="2"/>
      <c r="C24" s="2"/>
      <c r="D24" s="2"/>
      <c r="E24" s="2"/>
      <c r="F24" s="2"/>
      <c r="G24" s="2"/>
      <c r="H24" s="2"/>
      <c r="I24" s="2"/>
      <c r="J24" s="2"/>
      <c r="K24" s="2"/>
      <c r="L24" s="6"/>
    </row>
    <row r="25" spans="1:12" x14ac:dyDescent="0.35">
      <c r="A25" s="5"/>
      <c r="B25" s="2"/>
      <c r="C25" s="2"/>
      <c r="D25" s="2"/>
      <c r="E25" s="2"/>
      <c r="F25" s="2"/>
      <c r="G25" s="2"/>
      <c r="H25" s="2"/>
      <c r="I25" s="2"/>
      <c r="J25" s="2"/>
      <c r="K25" s="2"/>
      <c r="L25" s="6"/>
    </row>
    <row r="26" spans="1:12" x14ac:dyDescent="0.35">
      <c r="A26" s="5"/>
      <c r="B26" s="2"/>
      <c r="C26" s="2"/>
      <c r="D26" s="2"/>
      <c r="E26" s="2"/>
      <c r="F26" s="2"/>
      <c r="G26" s="2"/>
      <c r="H26" s="2"/>
      <c r="I26" s="2"/>
      <c r="J26" s="2"/>
      <c r="K26" s="2"/>
      <c r="L26" s="6"/>
    </row>
    <row r="27" spans="1:12" x14ac:dyDescent="0.35">
      <c r="A27" s="5"/>
      <c r="B27" s="2"/>
      <c r="C27" s="2"/>
      <c r="D27" s="2"/>
      <c r="E27" s="2"/>
      <c r="F27" s="2"/>
      <c r="G27" s="2"/>
      <c r="H27" s="2"/>
      <c r="I27" s="2"/>
      <c r="J27" s="2"/>
      <c r="K27" s="2"/>
      <c r="L27" s="6"/>
    </row>
    <row r="28" spans="1:12" ht="112.5" customHeight="1" x14ac:dyDescent="0.35">
      <c r="A28" s="5"/>
      <c r="B28" s="2"/>
      <c r="C28" s="2"/>
      <c r="D28" s="2"/>
      <c r="E28" s="2"/>
      <c r="F28" s="2"/>
      <c r="G28" s="2"/>
      <c r="H28" s="2"/>
      <c r="I28" s="2"/>
      <c r="J28" s="2"/>
      <c r="K28" s="2"/>
      <c r="L28" s="6"/>
    </row>
    <row r="29" spans="1:12" ht="26" x14ac:dyDescent="0.6">
      <c r="A29" s="5"/>
      <c r="B29" s="12" t="s">
        <v>309</v>
      </c>
      <c r="C29" s="12">
        <f>SUM(C32:C48)</f>
        <v>130.47</v>
      </c>
      <c r="D29" s="2"/>
      <c r="E29" s="2"/>
      <c r="F29" s="2"/>
      <c r="G29" s="2"/>
      <c r="H29" s="2"/>
      <c r="I29" s="2"/>
      <c r="J29" s="2"/>
      <c r="K29" s="2"/>
      <c r="L29" s="6"/>
    </row>
    <row r="30" spans="1:12" ht="16" x14ac:dyDescent="0.35">
      <c r="A30" s="5"/>
      <c r="B30" s="3"/>
      <c r="C30" s="3"/>
      <c r="D30" s="3"/>
      <c r="E30" s="3"/>
      <c r="F30" s="3"/>
      <c r="G30" s="3"/>
      <c r="H30" s="3"/>
      <c r="I30" s="3"/>
      <c r="J30" s="36" t="s">
        <v>272</v>
      </c>
      <c r="K30" s="36"/>
      <c r="L30" s="37"/>
    </row>
    <row r="31" spans="1:12" s="7" customFormat="1" ht="40" customHeight="1" x14ac:dyDescent="0.35">
      <c r="A31" s="10"/>
      <c r="B31" s="32" t="s">
        <v>273</v>
      </c>
      <c r="C31" s="32" t="s">
        <v>274</v>
      </c>
      <c r="D31" s="32" t="s">
        <v>267</v>
      </c>
      <c r="E31" s="32" t="s">
        <v>268</v>
      </c>
      <c r="F31" s="32" t="s">
        <v>270</v>
      </c>
      <c r="G31" s="32" t="s">
        <v>275</v>
      </c>
      <c r="H31" s="32" t="s">
        <v>276</v>
      </c>
      <c r="I31" s="32" t="s">
        <v>277</v>
      </c>
      <c r="J31" s="33" t="s">
        <v>278</v>
      </c>
      <c r="K31" s="34" t="s">
        <v>8</v>
      </c>
      <c r="L31" s="35" t="s">
        <v>16</v>
      </c>
    </row>
    <row r="32" spans="1:12" ht="100" customHeight="1" x14ac:dyDescent="0.4">
      <c r="A32" s="8"/>
      <c r="B32" s="13" t="s">
        <v>279</v>
      </c>
      <c r="C32" s="14">
        <v>3</v>
      </c>
      <c r="D32" s="13" t="s">
        <v>12</v>
      </c>
      <c r="E32" s="14" t="s">
        <v>45</v>
      </c>
      <c r="F32" s="14" t="s">
        <v>35</v>
      </c>
      <c r="G32" s="15">
        <v>44911</v>
      </c>
      <c r="H32" s="15">
        <v>47675</v>
      </c>
      <c r="I32" s="14" t="s">
        <v>280</v>
      </c>
      <c r="J32" s="16" t="s">
        <v>306</v>
      </c>
      <c r="K32" s="17" t="s">
        <v>307</v>
      </c>
      <c r="L32" s="18" t="s">
        <v>308</v>
      </c>
    </row>
    <row r="33" spans="1:12" ht="100" customHeight="1" x14ac:dyDescent="0.4">
      <c r="A33" s="11"/>
      <c r="B33" s="19" t="s">
        <v>281</v>
      </c>
      <c r="C33" s="20">
        <v>1.5</v>
      </c>
      <c r="D33" s="19" t="s">
        <v>12</v>
      </c>
      <c r="E33" s="20" t="s">
        <v>45</v>
      </c>
      <c r="F33" s="20" t="s">
        <v>35</v>
      </c>
      <c r="G33" s="21">
        <v>45495</v>
      </c>
      <c r="H33" s="21">
        <v>46956</v>
      </c>
      <c r="I33" s="20" t="s">
        <v>282</v>
      </c>
      <c r="J33" s="22"/>
      <c r="K33" s="23"/>
      <c r="L33" s="24"/>
    </row>
    <row r="34" spans="1:12" ht="100" customHeight="1" x14ac:dyDescent="0.4">
      <c r="A34" s="11"/>
      <c r="B34" s="19" t="s">
        <v>283</v>
      </c>
      <c r="C34" s="20">
        <v>7.75</v>
      </c>
      <c r="D34" s="19" t="s">
        <v>12</v>
      </c>
      <c r="E34" s="20" t="s">
        <v>45</v>
      </c>
      <c r="F34" s="20" t="s">
        <v>35</v>
      </c>
      <c r="G34" s="21">
        <v>44917</v>
      </c>
      <c r="H34" s="21">
        <v>46742</v>
      </c>
      <c r="I34" s="20" t="s">
        <v>284</v>
      </c>
      <c r="J34" s="25"/>
      <c r="K34" s="23"/>
      <c r="L34" s="24"/>
    </row>
    <row r="35" spans="1:12" ht="100" customHeight="1" x14ac:dyDescent="0.4">
      <c r="A35" s="11"/>
      <c r="B35" s="19" t="s">
        <v>285</v>
      </c>
      <c r="C35" s="20">
        <v>7.75</v>
      </c>
      <c r="D35" s="19" t="s">
        <v>12</v>
      </c>
      <c r="E35" s="20" t="s">
        <v>45</v>
      </c>
      <c r="F35" s="20" t="s">
        <v>29</v>
      </c>
      <c r="G35" s="21">
        <v>45094</v>
      </c>
      <c r="H35" s="21">
        <v>46737</v>
      </c>
      <c r="I35" s="20" t="s">
        <v>286</v>
      </c>
      <c r="J35" s="25"/>
      <c r="K35" s="23"/>
      <c r="L35" s="24"/>
    </row>
    <row r="36" spans="1:12" ht="100" customHeight="1" x14ac:dyDescent="0.4">
      <c r="A36" s="11"/>
      <c r="B36" s="19" t="s">
        <v>287</v>
      </c>
      <c r="C36" s="20">
        <v>4</v>
      </c>
      <c r="D36" s="19" t="s">
        <v>12</v>
      </c>
      <c r="E36" s="20" t="s">
        <v>45</v>
      </c>
      <c r="F36" s="20" t="s">
        <v>29</v>
      </c>
      <c r="G36" s="21">
        <v>45106</v>
      </c>
      <c r="H36" s="21">
        <v>46932</v>
      </c>
      <c r="I36" s="20" t="s">
        <v>288</v>
      </c>
      <c r="J36" s="25"/>
      <c r="K36" s="23"/>
      <c r="L36" s="24"/>
    </row>
    <row r="37" spans="1:12" ht="100" customHeight="1" x14ac:dyDescent="0.4">
      <c r="A37" s="11"/>
      <c r="B37" s="19" t="s">
        <v>289</v>
      </c>
      <c r="C37" s="20">
        <v>5.32</v>
      </c>
      <c r="D37" s="19" t="s">
        <v>12</v>
      </c>
      <c r="E37" s="20" t="s">
        <v>45</v>
      </c>
      <c r="F37" s="20" t="s">
        <v>29</v>
      </c>
      <c r="G37" s="21">
        <v>44197</v>
      </c>
      <c r="H37" s="21">
        <v>45657</v>
      </c>
      <c r="I37" s="20" t="s">
        <v>290</v>
      </c>
      <c r="J37" s="25"/>
      <c r="K37" s="23"/>
      <c r="L37" s="24"/>
    </row>
    <row r="38" spans="1:12" ht="100" customHeight="1" x14ac:dyDescent="0.4">
      <c r="A38" s="11"/>
      <c r="B38" s="19" t="s">
        <v>291</v>
      </c>
      <c r="C38" s="20">
        <v>2.5</v>
      </c>
      <c r="D38" s="19" t="s">
        <v>12</v>
      </c>
      <c r="E38" s="20" t="s">
        <v>45</v>
      </c>
      <c r="F38" s="20" t="s">
        <v>15</v>
      </c>
      <c r="G38" s="21">
        <v>44098</v>
      </c>
      <c r="H38" s="21">
        <v>45558</v>
      </c>
      <c r="I38" s="20" t="s">
        <v>288</v>
      </c>
      <c r="J38" s="25"/>
      <c r="K38" s="23"/>
      <c r="L38" s="24"/>
    </row>
    <row r="39" spans="1:12" ht="100" customHeight="1" x14ac:dyDescent="0.4">
      <c r="A39" s="11"/>
      <c r="B39" s="19" t="s">
        <v>292</v>
      </c>
      <c r="C39" s="20">
        <v>4.1500000000000004</v>
      </c>
      <c r="D39" s="19" t="s">
        <v>12</v>
      </c>
      <c r="E39" s="20" t="s">
        <v>45</v>
      </c>
      <c r="F39" s="20" t="s">
        <v>15</v>
      </c>
      <c r="G39" s="21">
        <v>44554</v>
      </c>
      <c r="H39" s="21">
        <v>46014</v>
      </c>
      <c r="I39" s="20" t="s">
        <v>288</v>
      </c>
      <c r="J39" s="25"/>
      <c r="K39" s="23"/>
      <c r="L39" s="24"/>
    </row>
    <row r="40" spans="1:12" ht="100" customHeight="1" x14ac:dyDescent="0.4">
      <c r="A40" s="11"/>
      <c r="B40" s="19" t="s">
        <v>293</v>
      </c>
      <c r="C40" s="20">
        <v>9.5</v>
      </c>
      <c r="D40" s="19" t="s">
        <v>271</v>
      </c>
      <c r="E40" s="20" t="s">
        <v>45</v>
      </c>
      <c r="F40" s="20" t="s">
        <v>35</v>
      </c>
      <c r="G40" s="21">
        <v>43864</v>
      </c>
      <c r="H40" s="21">
        <v>45691</v>
      </c>
      <c r="I40" s="20" t="s">
        <v>294</v>
      </c>
      <c r="J40" s="25"/>
      <c r="K40" s="23"/>
      <c r="L40" s="24"/>
    </row>
    <row r="41" spans="1:12" ht="100" customHeight="1" x14ac:dyDescent="0.4">
      <c r="A41" s="11"/>
      <c r="B41" s="19" t="s">
        <v>295</v>
      </c>
      <c r="C41" s="20">
        <v>11</v>
      </c>
      <c r="D41" s="19" t="s">
        <v>27</v>
      </c>
      <c r="E41" s="20" t="s">
        <v>45</v>
      </c>
      <c r="F41" s="20" t="s">
        <v>35</v>
      </c>
      <c r="G41" s="21"/>
      <c r="H41" s="21"/>
      <c r="I41" s="20" t="s">
        <v>296</v>
      </c>
      <c r="J41" s="25"/>
      <c r="K41" s="23"/>
      <c r="L41" s="24"/>
    </row>
    <row r="42" spans="1:12" ht="100" customHeight="1" x14ac:dyDescent="0.4">
      <c r="A42" s="11"/>
      <c r="B42" s="19" t="s">
        <v>297</v>
      </c>
      <c r="C42" s="20">
        <v>31.5</v>
      </c>
      <c r="D42" s="19" t="s">
        <v>12</v>
      </c>
      <c r="E42" s="20" t="s">
        <v>50</v>
      </c>
      <c r="F42" s="20" t="s">
        <v>15</v>
      </c>
      <c r="G42" s="21">
        <v>45536</v>
      </c>
      <c r="H42" s="21">
        <v>46752</v>
      </c>
      <c r="I42" s="20" t="s">
        <v>298</v>
      </c>
      <c r="J42" s="25"/>
      <c r="K42" s="23"/>
      <c r="L42" s="24"/>
    </row>
    <row r="43" spans="1:12" ht="100" customHeight="1" x14ac:dyDescent="0.4">
      <c r="A43" s="11"/>
      <c r="B43" s="19" t="s">
        <v>299</v>
      </c>
      <c r="C43" s="20">
        <v>27</v>
      </c>
      <c r="D43" s="19" t="s">
        <v>12</v>
      </c>
      <c r="E43" s="20" t="s">
        <v>45</v>
      </c>
      <c r="F43" s="20" t="s">
        <v>15</v>
      </c>
      <c r="G43" s="21"/>
      <c r="H43" s="21"/>
      <c r="I43" s="20"/>
      <c r="J43" s="25"/>
      <c r="K43" s="23"/>
      <c r="L43" s="24"/>
    </row>
    <row r="44" spans="1:12" ht="100" customHeight="1" x14ac:dyDescent="0.4">
      <c r="A44" s="11"/>
      <c r="B44" s="19" t="s">
        <v>300</v>
      </c>
      <c r="C44" s="20"/>
      <c r="D44" s="19" t="s">
        <v>12</v>
      </c>
      <c r="E44" s="20" t="s">
        <v>45</v>
      </c>
      <c r="F44" s="20" t="s">
        <v>15</v>
      </c>
      <c r="G44" s="21"/>
      <c r="H44" s="21"/>
      <c r="I44" s="20"/>
      <c r="J44" s="25"/>
      <c r="K44" s="23"/>
      <c r="L44" s="24"/>
    </row>
    <row r="45" spans="1:12" ht="100" customHeight="1" x14ac:dyDescent="0.4">
      <c r="A45" s="11"/>
      <c r="B45" s="19" t="s">
        <v>301</v>
      </c>
      <c r="C45" s="20">
        <v>15.5</v>
      </c>
      <c r="D45" s="19" t="s">
        <v>271</v>
      </c>
      <c r="E45" s="20" t="s">
        <v>45</v>
      </c>
      <c r="F45" s="20" t="s">
        <v>35</v>
      </c>
      <c r="G45" s="21"/>
      <c r="H45" s="21"/>
      <c r="I45" s="20" t="s">
        <v>294</v>
      </c>
      <c r="J45" s="25"/>
      <c r="K45" s="23"/>
      <c r="L45" s="24"/>
    </row>
    <row r="46" spans="1:12" ht="100" customHeight="1" x14ac:dyDescent="0.4">
      <c r="A46" s="11"/>
      <c r="B46" s="19" t="s">
        <v>302</v>
      </c>
      <c r="C46" s="20"/>
      <c r="D46" s="19"/>
      <c r="E46" s="20" t="s">
        <v>45</v>
      </c>
      <c r="F46" s="20" t="s">
        <v>29</v>
      </c>
      <c r="G46" s="21"/>
      <c r="H46" s="21"/>
      <c r="I46" s="20"/>
      <c r="J46" s="25"/>
      <c r="K46" s="23"/>
      <c r="L46" s="24"/>
    </row>
    <row r="47" spans="1:12" ht="100" customHeight="1" x14ac:dyDescent="0.4">
      <c r="A47" s="11"/>
      <c r="B47" s="19" t="s">
        <v>303</v>
      </c>
      <c r="C47" s="20" t="s">
        <v>304</v>
      </c>
      <c r="D47" s="19" t="s">
        <v>20</v>
      </c>
      <c r="E47" s="20" t="s">
        <v>45</v>
      </c>
      <c r="F47" s="20" t="s">
        <v>29</v>
      </c>
      <c r="G47" s="21">
        <v>44927</v>
      </c>
      <c r="H47" s="21">
        <v>45627</v>
      </c>
      <c r="I47" s="20" t="s">
        <v>294</v>
      </c>
      <c r="J47" s="25"/>
      <c r="K47" s="23"/>
      <c r="L47" s="24"/>
    </row>
    <row r="48" spans="1:12" ht="100" customHeight="1" thickBot="1" x14ac:dyDescent="0.45">
      <c r="A48" s="9"/>
      <c r="B48" s="26" t="s">
        <v>305</v>
      </c>
      <c r="C48" s="27"/>
      <c r="D48" s="26" t="s">
        <v>20</v>
      </c>
      <c r="E48" s="27" t="s">
        <v>45</v>
      </c>
      <c r="F48" s="27" t="s">
        <v>29</v>
      </c>
      <c r="G48" s="28"/>
      <c r="H48" s="28"/>
      <c r="I48" s="27"/>
      <c r="J48" s="29"/>
      <c r="K48" s="30"/>
      <c r="L48" s="31"/>
    </row>
  </sheetData>
  <mergeCells count="1">
    <mergeCell ref="J30:L30"/>
  </mergeCells>
  <printOptions horizontalCentered="1" verticalCentered="1"/>
  <pageMargins left="0.23622047244094491" right="0.23622047244094491" top="0.35433070866141736" bottom="0.35433070866141736" header="0.11811023622047245" footer="0.11811023622047245"/>
  <pageSetup scale="2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6D55E490-3F14-4E87-BA76-53429A2080E7}">
          <x14:formula1>
            <xm:f>Reference!$G$2:$G$31</xm:f>
          </x14:formula1>
          <xm:sqref>D32:D48</xm:sqref>
        </x14:dataValidation>
        <x14:dataValidation type="list" allowBlank="1" showInputMessage="1" showErrorMessage="1" xr:uid="{E95F76C6-2DF4-4F82-9307-B618E608A5D7}">
          <x14:formula1>
            <xm:f>Reference!$H$2:$H$49</xm:f>
          </x14:formula1>
          <xm:sqref>E32:E48</xm:sqref>
        </x14:dataValidation>
        <x14:dataValidation type="list" allowBlank="1" showInputMessage="1" showErrorMessage="1" xr:uid="{40AC7253-98DC-4875-B130-BD64098B9F46}">
          <x14:formula1>
            <xm:f>Reference!$J$2:$J$6</xm:f>
          </x14:formula1>
          <xm:sqref>F32:F48</xm:sqref>
        </x14:dataValidation>
        <x14:dataValidation type="list" allowBlank="1" showInputMessage="1" showErrorMessage="1" xr:uid="{2E91FF01-8F2A-4D17-AEE3-FB2F3AE4BE9B}">
          <x14:formula1>
            <xm:f>Reference!$E$2:$E$21</xm:f>
          </x14:formula1>
          <xm:sqref>J32:J48</xm:sqref>
        </x14:dataValidation>
        <x14:dataValidation type="list" allowBlank="1" showInputMessage="1" showErrorMessage="1" xr:uid="{D5D80747-B4D8-40D1-A3BD-288DAB1FE3EF}">
          <x14:formula1>
            <xm:f>Reference!$E$22:$E$41</xm:f>
          </x14:formula1>
          <xm:sqref>K32:K48</xm:sqref>
        </x14:dataValidation>
        <x14:dataValidation type="list" allowBlank="1" showInputMessage="1" showErrorMessage="1" xr:uid="{F28D9141-F839-4DCF-B642-B7A5CB59D899}">
          <x14:formula1>
            <xm:f>Reference!$E$42:$E$61</xm:f>
          </x14:formula1>
          <xm:sqref>L32:L48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CC5A8-18F7-4D4D-BABD-AFBBAF9E6DCA}">
  <sheetPr codeName="Sheet2"/>
  <dimension ref="B1:J98"/>
  <sheetViews>
    <sheetView zoomScaleNormal="100" workbookViewId="0">
      <selection activeCell="G23" sqref="G23"/>
    </sheetView>
  </sheetViews>
  <sheetFormatPr defaultRowHeight="14.5" x14ac:dyDescent="0.35"/>
  <cols>
    <col min="2" max="2" width="33.1796875" customWidth="1"/>
    <col min="3" max="3" width="11.26953125" hidden="1" customWidth="1"/>
    <col min="4" max="4" width="51.453125" hidden="1" customWidth="1"/>
    <col min="5" max="5" width="51.453125" customWidth="1"/>
    <col min="6" max="6" width="50.90625" customWidth="1"/>
    <col min="7" max="7" width="26.7265625" customWidth="1"/>
    <col min="8" max="10" width="56.90625" customWidth="1"/>
  </cols>
  <sheetData>
    <row r="1" spans="2:10" ht="20" customHeight="1" x14ac:dyDescent="0.35">
      <c r="B1" t="s">
        <v>263</v>
      </c>
      <c r="C1" t="s">
        <v>264</v>
      </c>
      <c r="D1" t="s">
        <v>265</v>
      </c>
      <c r="E1" t="s">
        <v>266</v>
      </c>
      <c r="F1" t="s">
        <v>35</v>
      </c>
      <c r="G1" t="s">
        <v>267</v>
      </c>
      <c r="H1" t="s">
        <v>268</v>
      </c>
      <c r="I1" t="s">
        <v>269</v>
      </c>
      <c r="J1" t="s">
        <v>270</v>
      </c>
    </row>
    <row r="2" spans="2:10" ht="20" customHeight="1" x14ac:dyDescent="0.35">
      <c r="B2" t="s">
        <v>0</v>
      </c>
      <c r="C2" t="e" vm="1">
        <v>#VALUE!</v>
      </c>
      <c r="D2" t="s">
        <v>1</v>
      </c>
      <c r="E2" t="s">
        <v>2</v>
      </c>
      <c r="F2" t="s">
        <v>3</v>
      </c>
      <c r="G2" t="s">
        <v>4</v>
      </c>
      <c r="H2" t="s">
        <v>5</v>
      </c>
      <c r="I2" t="s">
        <v>6</v>
      </c>
      <c r="J2" t="s">
        <v>7</v>
      </c>
    </row>
    <row r="3" spans="2:10" ht="20" customHeight="1" x14ac:dyDescent="0.35">
      <c r="B3" t="s">
        <v>8</v>
      </c>
      <c r="C3" t="e" vm="2">
        <v>#VALUE!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</row>
    <row r="4" spans="2:10" ht="20" customHeight="1" x14ac:dyDescent="0.35">
      <c r="B4" t="s">
        <v>16</v>
      </c>
      <c r="C4" t="e" vm="3">
        <v>#VALUE!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</row>
    <row r="5" spans="2:10" ht="20" customHeight="1" x14ac:dyDescent="0.35">
      <c r="C5" t="e" vm="4">
        <v>#VALUE!</v>
      </c>
      <c r="D5" t="s">
        <v>24</v>
      </c>
      <c r="E5" t="s">
        <v>25</v>
      </c>
      <c r="F5" t="s">
        <v>26</v>
      </c>
      <c r="G5" t="s">
        <v>27</v>
      </c>
      <c r="H5" t="s">
        <v>28</v>
      </c>
      <c r="J5" t="s">
        <v>29</v>
      </c>
    </row>
    <row r="6" spans="2:10" ht="20" customHeight="1" x14ac:dyDescent="0.35">
      <c r="C6" t="e" vm="5">
        <v>#VALUE!</v>
      </c>
      <c r="D6" t="s">
        <v>30</v>
      </c>
      <c r="E6" t="s">
        <v>31</v>
      </c>
      <c r="F6" t="s">
        <v>32</v>
      </c>
      <c r="G6" t="s">
        <v>33</v>
      </c>
      <c r="H6" t="s">
        <v>34</v>
      </c>
      <c r="J6" t="s">
        <v>35</v>
      </c>
    </row>
    <row r="7" spans="2:10" ht="20" customHeight="1" x14ac:dyDescent="0.35">
      <c r="C7" t="e" vm="6">
        <v>#VALUE!</v>
      </c>
      <c r="D7" t="s">
        <v>36</v>
      </c>
      <c r="E7" t="s">
        <v>37</v>
      </c>
      <c r="F7" t="s">
        <v>38</v>
      </c>
      <c r="G7" t="s">
        <v>39</v>
      </c>
      <c r="H7" t="s">
        <v>40</v>
      </c>
    </row>
    <row r="8" spans="2:10" ht="20" customHeight="1" x14ac:dyDescent="0.35">
      <c r="C8" t="e" vm="7">
        <v>#VALUE!</v>
      </c>
      <c r="D8" t="s">
        <v>41</v>
      </c>
      <c r="E8" t="s">
        <v>42</v>
      </c>
      <c r="F8" t="s">
        <v>43</v>
      </c>
      <c r="G8" t="s">
        <v>44</v>
      </c>
      <c r="H8" t="s">
        <v>45</v>
      </c>
    </row>
    <row r="9" spans="2:10" ht="20" customHeight="1" x14ac:dyDescent="0.35">
      <c r="C9" t="e" vm="8">
        <v>#VALUE!</v>
      </c>
      <c r="D9" t="s">
        <v>46</v>
      </c>
      <c r="E9" t="s">
        <v>47</v>
      </c>
      <c r="F9" t="s">
        <v>48</v>
      </c>
      <c r="G9" t="s">
        <v>49</v>
      </c>
      <c r="H9" t="s">
        <v>50</v>
      </c>
    </row>
    <row r="10" spans="2:10" ht="20" customHeight="1" x14ac:dyDescent="0.35">
      <c r="C10" t="e" vm="9">
        <v>#VALUE!</v>
      </c>
      <c r="D10" t="s">
        <v>51</v>
      </c>
      <c r="E10" t="s">
        <v>52</v>
      </c>
      <c r="F10" t="s">
        <v>53</v>
      </c>
      <c r="G10" t="s">
        <v>54</v>
      </c>
      <c r="H10" t="s">
        <v>55</v>
      </c>
    </row>
    <row r="11" spans="2:10" ht="20" customHeight="1" x14ac:dyDescent="0.35">
      <c r="C11" t="e" vm="10">
        <v>#VALUE!</v>
      </c>
      <c r="D11" t="s">
        <v>56</v>
      </c>
      <c r="E11" t="s">
        <v>57</v>
      </c>
      <c r="F11" t="s">
        <v>58</v>
      </c>
      <c r="G11" t="s">
        <v>59</v>
      </c>
      <c r="H11" t="s">
        <v>60</v>
      </c>
    </row>
    <row r="12" spans="2:10" ht="20" customHeight="1" x14ac:dyDescent="0.35">
      <c r="C12" t="e" vm="11">
        <v>#VALUE!</v>
      </c>
      <c r="D12" t="s">
        <v>61</v>
      </c>
      <c r="E12" t="s">
        <v>62</v>
      </c>
      <c r="F12" t="s">
        <v>63</v>
      </c>
      <c r="G12" t="s">
        <v>64</v>
      </c>
      <c r="H12" t="s">
        <v>65</v>
      </c>
    </row>
    <row r="13" spans="2:10" ht="20" customHeight="1" x14ac:dyDescent="0.35">
      <c r="C13" t="e" vm="12">
        <v>#VALUE!</v>
      </c>
      <c r="D13" t="s">
        <v>66</v>
      </c>
      <c r="E13" t="s">
        <v>67</v>
      </c>
      <c r="F13" t="s">
        <v>68</v>
      </c>
      <c r="G13" s="1" t="s">
        <v>69</v>
      </c>
      <c r="H13" t="s">
        <v>70</v>
      </c>
    </row>
    <row r="14" spans="2:10" ht="20" customHeight="1" x14ac:dyDescent="0.35">
      <c r="C14" t="e" vm="13">
        <v>#VALUE!</v>
      </c>
      <c r="D14" t="s">
        <v>71</v>
      </c>
      <c r="E14" t="s">
        <v>72</v>
      </c>
      <c r="F14" t="s">
        <v>73</v>
      </c>
      <c r="G14" t="s">
        <v>74</v>
      </c>
      <c r="H14" t="s">
        <v>75</v>
      </c>
    </row>
    <row r="15" spans="2:10" ht="20" customHeight="1" x14ac:dyDescent="0.35">
      <c r="C15" t="e" vm="14">
        <v>#VALUE!</v>
      </c>
      <c r="D15" t="s">
        <v>76</v>
      </c>
      <c r="E15" t="s">
        <v>77</v>
      </c>
      <c r="F15" t="s">
        <v>78</v>
      </c>
      <c r="G15" t="s">
        <v>79</v>
      </c>
      <c r="H15" t="s">
        <v>80</v>
      </c>
    </row>
    <row r="16" spans="2:10" ht="20" customHeight="1" x14ac:dyDescent="0.35">
      <c r="C16" t="e" vm="15">
        <v>#VALUE!</v>
      </c>
      <c r="D16" t="s">
        <v>81</v>
      </c>
      <c r="E16" t="s">
        <v>82</v>
      </c>
      <c r="F16" t="s">
        <v>83</v>
      </c>
      <c r="G16" t="s">
        <v>84</v>
      </c>
      <c r="H16" t="s">
        <v>85</v>
      </c>
    </row>
    <row r="17" spans="3:8" ht="20" customHeight="1" x14ac:dyDescent="0.35">
      <c r="C17" t="e" vm="16">
        <v>#VALUE!</v>
      </c>
      <c r="D17" t="s">
        <v>86</v>
      </c>
      <c r="E17" t="s">
        <v>87</v>
      </c>
      <c r="F17" t="s">
        <v>88</v>
      </c>
      <c r="G17" t="s">
        <v>89</v>
      </c>
      <c r="H17" t="s">
        <v>90</v>
      </c>
    </row>
    <row r="18" spans="3:8" ht="20" customHeight="1" x14ac:dyDescent="0.35">
      <c r="C18" t="e" vm="17">
        <v>#VALUE!</v>
      </c>
      <c r="D18" t="s">
        <v>91</v>
      </c>
      <c r="E18" t="s">
        <v>92</v>
      </c>
      <c r="F18" t="s">
        <v>93</v>
      </c>
      <c r="G18" s="1" t="s">
        <v>94</v>
      </c>
      <c r="H18" t="s">
        <v>95</v>
      </c>
    </row>
    <row r="19" spans="3:8" ht="20" customHeight="1" x14ac:dyDescent="0.35">
      <c r="E19" t="s">
        <v>96</v>
      </c>
      <c r="F19" t="s">
        <v>97</v>
      </c>
      <c r="G19" t="s">
        <v>98</v>
      </c>
      <c r="H19" t="s">
        <v>99</v>
      </c>
    </row>
    <row r="20" spans="3:8" ht="20" customHeight="1" x14ac:dyDescent="0.35">
      <c r="E20" t="s">
        <v>100</v>
      </c>
      <c r="F20" t="s">
        <v>101</v>
      </c>
      <c r="G20" s="1" t="s">
        <v>102</v>
      </c>
      <c r="H20" t="s">
        <v>103</v>
      </c>
    </row>
    <row r="21" spans="3:8" ht="20" customHeight="1" x14ac:dyDescent="0.35">
      <c r="E21" t="s">
        <v>104</v>
      </c>
      <c r="F21" t="s">
        <v>105</v>
      </c>
      <c r="G21" t="s">
        <v>106</v>
      </c>
      <c r="H21" t="s">
        <v>107</v>
      </c>
    </row>
    <row r="22" spans="3:8" ht="20" customHeight="1" x14ac:dyDescent="0.35">
      <c r="E22" t="s">
        <v>108</v>
      </c>
      <c r="F22" t="s">
        <v>109</v>
      </c>
      <c r="G22" s="1" t="s">
        <v>110</v>
      </c>
      <c r="H22" t="s">
        <v>111</v>
      </c>
    </row>
    <row r="23" spans="3:8" ht="20" customHeight="1" x14ac:dyDescent="0.35">
      <c r="E23" t="s">
        <v>112</v>
      </c>
      <c r="F23" t="s">
        <v>113</v>
      </c>
      <c r="G23" s="1" t="s">
        <v>114</v>
      </c>
      <c r="H23" t="s">
        <v>115</v>
      </c>
    </row>
    <row r="24" spans="3:8" ht="20" customHeight="1" x14ac:dyDescent="0.35">
      <c r="E24" t="s">
        <v>116</v>
      </c>
      <c r="F24" t="s">
        <v>117</v>
      </c>
      <c r="G24" t="s">
        <v>118</v>
      </c>
      <c r="H24" t="s">
        <v>119</v>
      </c>
    </row>
    <row r="25" spans="3:8" ht="20" customHeight="1" x14ac:dyDescent="0.35">
      <c r="E25" t="s">
        <v>120</v>
      </c>
      <c r="F25" t="s">
        <v>121</v>
      </c>
      <c r="G25" s="1" t="s">
        <v>122</v>
      </c>
      <c r="H25" t="s">
        <v>123</v>
      </c>
    </row>
    <row r="26" spans="3:8" ht="20" customHeight="1" x14ac:dyDescent="0.35">
      <c r="E26" t="s">
        <v>124</v>
      </c>
      <c r="F26" t="s">
        <v>125</v>
      </c>
      <c r="G26" t="s">
        <v>126</v>
      </c>
      <c r="H26" t="s">
        <v>127</v>
      </c>
    </row>
    <row r="27" spans="3:8" ht="20" customHeight="1" x14ac:dyDescent="0.35">
      <c r="E27" t="s">
        <v>128</v>
      </c>
      <c r="F27" t="s">
        <v>129</v>
      </c>
      <c r="G27" t="s">
        <v>130</v>
      </c>
      <c r="H27" t="s">
        <v>131</v>
      </c>
    </row>
    <row r="28" spans="3:8" ht="20" customHeight="1" x14ac:dyDescent="0.35">
      <c r="E28" t="s">
        <v>132</v>
      </c>
      <c r="F28" t="s">
        <v>133</v>
      </c>
      <c r="G28" s="1" t="s">
        <v>134</v>
      </c>
      <c r="H28" t="s">
        <v>135</v>
      </c>
    </row>
    <row r="29" spans="3:8" ht="20" customHeight="1" x14ac:dyDescent="0.35">
      <c r="E29" t="s">
        <v>136</v>
      </c>
      <c r="F29" t="s">
        <v>137</v>
      </c>
      <c r="G29" t="s">
        <v>138</v>
      </c>
      <c r="H29" t="s">
        <v>139</v>
      </c>
    </row>
    <row r="30" spans="3:8" ht="20" customHeight="1" x14ac:dyDescent="0.35">
      <c r="E30" t="s">
        <v>140</v>
      </c>
      <c r="F30" t="s">
        <v>141</v>
      </c>
      <c r="G30" t="s">
        <v>142</v>
      </c>
      <c r="H30" t="s">
        <v>143</v>
      </c>
    </row>
    <row r="31" spans="3:8" ht="20" customHeight="1" x14ac:dyDescent="0.35">
      <c r="E31" t="s">
        <v>144</v>
      </c>
      <c r="F31" t="s">
        <v>145</v>
      </c>
      <c r="G31" s="1" t="s">
        <v>146</v>
      </c>
      <c r="H31" t="s">
        <v>147</v>
      </c>
    </row>
    <row r="32" spans="3:8" ht="20" customHeight="1" x14ac:dyDescent="0.35">
      <c r="E32" t="s">
        <v>148</v>
      </c>
      <c r="F32" t="s">
        <v>149</v>
      </c>
      <c r="H32" t="s">
        <v>150</v>
      </c>
    </row>
    <row r="33" spans="5:8" ht="20" customHeight="1" x14ac:dyDescent="0.35">
      <c r="E33" t="s">
        <v>151</v>
      </c>
      <c r="F33" t="s">
        <v>152</v>
      </c>
      <c r="H33" t="s">
        <v>153</v>
      </c>
    </row>
    <row r="34" spans="5:8" ht="20" customHeight="1" x14ac:dyDescent="0.35">
      <c r="E34" t="s">
        <v>154</v>
      </c>
      <c r="F34" t="s">
        <v>155</v>
      </c>
      <c r="G34" s="1"/>
      <c r="H34" t="s">
        <v>156</v>
      </c>
    </row>
    <row r="35" spans="5:8" ht="20" customHeight="1" x14ac:dyDescent="0.35">
      <c r="E35" t="s">
        <v>157</v>
      </c>
      <c r="F35" t="s">
        <v>158</v>
      </c>
      <c r="H35" t="s">
        <v>159</v>
      </c>
    </row>
    <row r="36" spans="5:8" ht="20" customHeight="1" x14ac:dyDescent="0.35">
      <c r="E36" t="s">
        <v>160</v>
      </c>
      <c r="F36" t="s">
        <v>161</v>
      </c>
      <c r="G36" s="1"/>
      <c r="H36" t="s">
        <v>162</v>
      </c>
    </row>
    <row r="37" spans="5:8" ht="20" customHeight="1" x14ac:dyDescent="0.35">
      <c r="E37" t="s">
        <v>163</v>
      </c>
      <c r="F37" t="s">
        <v>164</v>
      </c>
      <c r="H37" t="s">
        <v>165</v>
      </c>
    </row>
    <row r="38" spans="5:8" ht="20" customHeight="1" x14ac:dyDescent="0.35">
      <c r="E38" t="s">
        <v>166</v>
      </c>
      <c r="F38" t="s">
        <v>167</v>
      </c>
      <c r="G38" s="1"/>
      <c r="H38" t="s">
        <v>168</v>
      </c>
    </row>
    <row r="39" spans="5:8" ht="20" customHeight="1" x14ac:dyDescent="0.35">
      <c r="E39" t="s">
        <v>169</v>
      </c>
      <c r="F39" t="s">
        <v>170</v>
      </c>
      <c r="H39" t="s">
        <v>171</v>
      </c>
    </row>
    <row r="40" spans="5:8" ht="20" customHeight="1" x14ac:dyDescent="0.35">
      <c r="E40" t="s">
        <v>172</v>
      </c>
      <c r="F40" t="s">
        <v>173</v>
      </c>
      <c r="G40" s="1"/>
      <c r="H40" t="s">
        <v>174</v>
      </c>
    </row>
    <row r="41" spans="5:8" ht="20" customHeight="1" x14ac:dyDescent="0.35">
      <c r="E41" t="s">
        <v>175</v>
      </c>
      <c r="F41" t="s">
        <v>176</v>
      </c>
      <c r="H41" t="s">
        <v>177</v>
      </c>
    </row>
    <row r="42" spans="5:8" ht="20" customHeight="1" x14ac:dyDescent="0.35">
      <c r="E42" t="s">
        <v>178</v>
      </c>
      <c r="F42" t="s">
        <v>179</v>
      </c>
      <c r="G42" s="1"/>
      <c r="H42" t="s">
        <v>180</v>
      </c>
    </row>
    <row r="43" spans="5:8" ht="20" customHeight="1" x14ac:dyDescent="0.35">
      <c r="E43" t="s">
        <v>181</v>
      </c>
      <c r="F43" t="s">
        <v>182</v>
      </c>
      <c r="H43" t="s">
        <v>183</v>
      </c>
    </row>
    <row r="44" spans="5:8" ht="20" customHeight="1" x14ac:dyDescent="0.35">
      <c r="E44" t="s">
        <v>184</v>
      </c>
      <c r="F44" t="s">
        <v>185</v>
      </c>
      <c r="G44" s="1"/>
      <c r="H44" t="s">
        <v>186</v>
      </c>
    </row>
    <row r="45" spans="5:8" ht="20" customHeight="1" x14ac:dyDescent="0.35">
      <c r="E45" t="s">
        <v>187</v>
      </c>
      <c r="F45" t="s">
        <v>188</v>
      </c>
      <c r="H45" t="s">
        <v>189</v>
      </c>
    </row>
    <row r="46" spans="5:8" ht="20" customHeight="1" x14ac:dyDescent="0.35">
      <c r="E46" t="s">
        <v>190</v>
      </c>
      <c r="F46" t="s">
        <v>191</v>
      </c>
      <c r="G46" s="1"/>
      <c r="H46" t="s">
        <v>192</v>
      </c>
    </row>
    <row r="47" spans="5:8" ht="20" customHeight="1" x14ac:dyDescent="0.35">
      <c r="E47" t="s">
        <v>193</v>
      </c>
      <c r="F47" t="s">
        <v>194</v>
      </c>
      <c r="H47" t="s">
        <v>195</v>
      </c>
    </row>
    <row r="48" spans="5:8" ht="20" customHeight="1" x14ac:dyDescent="0.35">
      <c r="E48" t="s">
        <v>196</v>
      </c>
      <c r="F48" t="s">
        <v>197</v>
      </c>
      <c r="G48" s="1"/>
      <c r="H48" t="s">
        <v>198</v>
      </c>
    </row>
    <row r="49" spans="5:8" ht="20" customHeight="1" x14ac:dyDescent="0.35">
      <c r="E49" t="s">
        <v>199</v>
      </c>
      <c r="F49" t="s">
        <v>200</v>
      </c>
      <c r="H49" t="s">
        <v>201</v>
      </c>
    </row>
    <row r="50" spans="5:8" ht="20" customHeight="1" x14ac:dyDescent="0.35">
      <c r="E50" t="s">
        <v>202</v>
      </c>
      <c r="F50" t="s">
        <v>203</v>
      </c>
      <c r="G50" s="1"/>
    </row>
    <row r="51" spans="5:8" ht="20" customHeight="1" x14ac:dyDescent="0.35">
      <c r="E51" t="s">
        <v>204</v>
      </c>
      <c r="F51" t="s">
        <v>205</v>
      </c>
    </row>
    <row r="52" spans="5:8" ht="20" customHeight="1" x14ac:dyDescent="0.35">
      <c r="E52" t="s">
        <v>206</v>
      </c>
      <c r="F52" t="s">
        <v>207</v>
      </c>
      <c r="G52" s="1"/>
    </row>
    <row r="53" spans="5:8" ht="20" customHeight="1" x14ac:dyDescent="0.35">
      <c r="E53" t="s">
        <v>208</v>
      </c>
      <c r="F53" t="s">
        <v>209</v>
      </c>
    </row>
    <row r="54" spans="5:8" ht="20" customHeight="1" x14ac:dyDescent="0.35">
      <c r="E54" t="s">
        <v>210</v>
      </c>
      <c r="F54" t="s">
        <v>211</v>
      </c>
      <c r="G54" s="1"/>
    </row>
    <row r="55" spans="5:8" ht="20" customHeight="1" x14ac:dyDescent="0.35">
      <c r="E55" t="s">
        <v>212</v>
      </c>
      <c r="F55" t="s">
        <v>213</v>
      </c>
    </row>
    <row r="56" spans="5:8" ht="20" customHeight="1" x14ac:dyDescent="0.35">
      <c r="E56" t="s">
        <v>214</v>
      </c>
      <c r="F56" t="s">
        <v>215</v>
      </c>
    </row>
    <row r="57" spans="5:8" ht="20" customHeight="1" x14ac:dyDescent="0.35">
      <c r="E57" t="s">
        <v>216</v>
      </c>
      <c r="F57" t="s">
        <v>217</v>
      </c>
    </row>
    <row r="58" spans="5:8" ht="20" customHeight="1" x14ac:dyDescent="0.35">
      <c r="E58" t="s">
        <v>218</v>
      </c>
      <c r="F58" t="s">
        <v>219</v>
      </c>
    </row>
    <row r="59" spans="5:8" ht="20" customHeight="1" x14ac:dyDescent="0.35">
      <c r="E59" t="s">
        <v>220</v>
      </c>
      <c r="F59" t="s">
        <v>221</v>
      </c>
    </row>
    <row r="60" spans="5:8" ht="20" customHeight="1" x14ac:dyDescent="0.35">
      <c r="E60" t="s">
        <v>222</v>
      </c>
      <c r="F60" t="s">
        <v>223</v>
      </c>
    </row>
    <row r="61" spans="5:8" ht="20" customHeight="1" x14ac:dyDescent="0.35">
      <c r="E61" t="s">
        <v>224</v>
      </c>
      <c r="F61" t="s">
        <v>225</v>
      </c>
    </row>
    <row r="62" spans="5:8" ht="20" customHeight="1" x14ac:dyDescent="0.35">
      <c r="F62" t="s">
        <v>226</v>
      </c>
    </row>
    <row r="63" spans="5:8" ht="20" customHeight="1" x14ac:dyDescent="0.35">
      <c r="F63" t="s">
        <v>227</v>
      </c>
    </row>
    <row r="64" spans="5:8" ht="20" customHeight="1" x14ac:dyDescent="0.35">
      <c r="F64" t="s">
        <v>228</v>
      </c>
    </row>
    <row r="65" spans="6:6" ht="20" customHeight="1" x14ac:dyDescent="0.35">
      <c r="F65" t="s">
        <v>229</v>
      </c>
    </row>
    <row r="66" spans="6:6" ht="20" customHeight="1" x14ac:dyDescent="0.35">
      <c r="F66" t="s">
        <v>230</v>
      </c>
    </row>
    <row r="67" spans="6:6" ht="20" customHeight="1" x14ac:dyDescent="0.35">
      <c r="F67" t="s">
        <v>231</v>
      </c>
    </row>
    <row r="68" spans="6:6" ht="20" customHeight="1" x14ac:dyDescent="0.35">
      <c r="F68" t="s">
        <v>232</v>
      </c>
    </row>
    <row r="69" spans="6:6" ht="20" customHeight="1" x14ac:dyDescent="0.35">
      <c r="F69" t="s">
        <v>233</v>
      </c>
    </row>
    <row r="70" spans="6:6" ht="20" customHeight="1" x14ac:dyDescent="0.35">
      <c r="F70" t="s">
        <v>234</v>
      </c>
    </row>
    <row r="71" spans="6:6" ht="20" customHeight="1" x14ac:dyDescent="0.35">
      <c r="F71" t="s">
        <v>235</v>
      </c>
    </row>
    <row r="72" spans="6:6" ht="20" customHeight="1" x14ac:dyDescent="0.35">
      <c r="F72" t="s">
        <v>236</v>
      </c>
    </row>
    <row r="73" spans="6:6" ht="20" customHeight="1" x14ac:dyDescent="0.35">
      <c r="F73" t="s">
        <v>237</v>
      </c>
    </row>
    <row r="74" spans="6:6" ht="20" customHeight="1" x14ac:dyDescent="0.35">
      <c r="F74" t="s">
        <v>238</v>
      </c>
    </row>
    <row r="75" spans="6:6" ht="20" customHeight="1" x14ac:dyDescent="0.35">
      <c r="F75" t="s">
        <v>239</v>
      </c>
    </row>
    <row r="76" spans="6:6" ht="20" customHeight="1" x14ac:dyDescent="0.35">
      <c r="F76" t="s">
        <v>240</v>
      </c>
    </row>
    <row r="77" spans="6:6" ht="20" customHeight="1" x14ac:dyDescent="0.35">
      <c r="F77" t="s">
        <v>241</v>
      </c>
    </row>
    <row r="78" spans="6:6" ht="20" customHeight="1" x14ac:dyDescent="0.35">
      <c r="F78" t="s">
        <v>242</v>
      </c>
    </row>
    <row r="79" spans="6:6" ht="20" customHeight="1" x14ac:dyDescent="0.35">
      <c r="F79" t="s">
        <v>243</v>
      </c>
    </row>
    <row r="80" spans="6:6" ht="20" customHeight="1" x14ac:dyDescent="0.35">
      <c r="F80" t="s">
        <v>244</v>
      </c>
    </row>
    <row r="81" spans="6:6" ht="20" customHeight="1" x14ac:dyDescent="0.35">
      <c r="F81" t="s">
        <v>245</v>
      </c>
    </row>
    <row r="82" spans="6:6" ht="20" customHeight="1" x14ac:dyDescent="0.35">
      <c r="F82" t="s">
        <v>246</v>
      </c>
    </row>
    <row r="83" spans="6:6" ht="20" customHeight="1" x14ac:dyDescent="0.35">
      <c r="F83" t="s">
        <v>247</v>
      </c>
    </row>
    <row r="84" spans="6:6" ht="20" customHeight="1" x14ac:dyDescent="0.35">
      <c r="F84" t="s">
        <v>248</v>
      </c>
    </row>
    <row r="85" spans="6:6" ht="20" customHeight="1" x14ac:dyDescent="0.35">
      <c r="F85" t="s">
        <v>249</v>
      </c>
    </row>
    <row r="86" spans="6:6" ht="20" customHeight="1" x14ac:dyDescent="0.35">
      <c r="F86" t="s">
        <v>250</v>
      </c>
    </row>
    <row r="87" spans="6:6" ht="20" customHeight="1" x14ac:dyDescent="0.35">
      <c r="F87" t="s">
        <v>251</v>
      </c>
    </row>
    <row r="88" spans="6:6" ht="20" customHeight="1" x14ac:dyDescent="0.35">
      <c r="F88" t="s">
        <v>252</v>
      </c>
    </row>
    <row r="89" spans="6:6" ht="20" customHeight="1" x14ac:dyDescent="0.35">
      <c r="F89" t="s">
        <v>253</v>
      </c>
    </row>
    <row r="90" spans="6:6" ht="20" customHeight="1" x14ac:dyDescent="0.35">
      <c r="F90" t="s">
        <v>254</v>
      </c>
    </row>
    <row r="91" spans="6:6" ht="20" customHeight="1" x14ac:dyDescent="0.35">
      <c r="F91" t="s">
        <v>255</v>
      </c>
    </row>
    <row r="92" spans="6:6" ht="20" customHeight="1" x14ac:dyDescent="0.35">
      <c r="F92" t="s">
        <v>256</v>
      </c>
    </row>
    <row r="93" spans="6:6" ht="20" customHeight="1" x14ac:dyDescent="0.35">
      <c r="F93" t="s">
        <v>257</v>
      </c>
    </row>
    <row r="94" spans="6:6" ht="20" customHeight="1" x14ac:dyDescent="0.35">
      <c r="F94" t="s">
        <v>258</v>
      </c>
    </row>
    <row r="95" spans="6:6" ht="20" customHeight="1" x14ac:dyDescent="0.35">
      <c r="F95" t="s">
        <v>259</v>
      </c>
    </row>
    <row r="96" spans="6:6" ht="20" customHeight="1" x14ac:dyDescent="0.35">
      <c r="F96" t="s">
        <v>260</v>
      </c>
    </row>
    <row r="97" spans="6:6" ht="20" customHeight="1" x14ac:dyDescent="0.35">
      <c r="F97" t="s">
        <v>261</v>
      </c>
    </row>
    <row r="98" spans="6:6" ht="20" customHeight="1" x14ac:dyDescent="0.35">
      <c r="F98" t="s">
        <v>262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Quentin Jungers</dc:creator>
  <cp:lastModifiedBy>Quentin Jungers</cp:lastModifiedBy>
  <cp:lastPrinted>2024-07-02T13:37:36Z</cp:lastPrinted>
  <dcterms:created xsi:type="dcterms:W3CDTF">2024-07-02T11:05:03Z</dcterms:created>
  <dcterms:modified xsi:type="dcterms:W3CDTF">2024-07-02T15:35:11Z</dcterms:modified>
</cp:coreProperties>
</file>